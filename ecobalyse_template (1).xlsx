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cobalyse\"/>
    </mc:Choice>
  </mc:AlternateContent>
  <xr:revisionPtr revIDLastSave="0" documentId="13_ncr:1_{8199C9D0-A295-41A7-90A3-490F2C83A10B}" xr6:coauthVersionLast="47" xr6:coauthVersionMax="47" xr10:uidLastSave="{00000000-0000-0000-0000-000000000000}"/>
  <bookViews>
    <workbookView xWindow="495" yWindow="990" windowWidth="28800" windowHeight="15435" xr2:uid="{00000000-000D-0000-FFFF-FFFF00000000}"/>
  </bookViews>
  <sheets>
    <sheet name="SAISIE" sheetId="1" r:id="rId1"/>
    <sheet name="REF_MATERIALS" sheetId="2" r:id="rId2"/>
    <sheet name="REF_PRODUCTS" sheetId="3" r:id="rId3"/>
    <sheet name="REF_COUNTRIES" sheetId="4" r:id="rId4"/>
    <sheet name="API_INPU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1" i="5" l="1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2" i="5"/>
</calcChain>
</file>

<file path=xl/sharedStrings.xml><?xml version="1.0" encoding="utf-8"?>
<sst xmlns="http://schemas.openxmlformats.org/spreadsheetml/2006/main" count="1032" uniqueCount="242">
  <si>
    <t>Nom du produit</t>
  </si>
  <si>
    <t>Catégorie</t>
  </si>
  <si>
    <t>Masse (kg)</t>
  </si>
  <si>
    <t>Matière 1</t>
  </si>
  <si>
    <t>Matière 1 — Part</t>
  </si>
  <si>
    <t>Matière 1 — Pays</t>
  </si>
  <si>
    <t>Matière 2</t>
  </si>
  <si>
    <t>Matière 2 — Part</t>
  </si>
  <si>
    <t>Matière 2 — Pays</t>
  </si>
  <si>
    <t>Matière 3</t>
  </si>
  <si>
    <t>Matière 3 — Part</t>
  </si>
  <si>
    <t>Matière 3 — Pays</t>
  </si>
  <si>
    <t>Matière 4</t>
  </si>
  <si>
    <t>Matière 4 — Part</t>
  </si>
  <si>
    <t>Matière 4 — Pays</t>
  </si>
  <si>
    <t>Matière 5</t>
  </si>
  <si>
    <t>Matière 5 — Part</t>
  </si>
  <si>
    <t>Matière 5 — Pays</t>
  </si>
  <si>
    <t>Pays Filature</t>
  </si>
  <si>
    <t>Pays Tissage</t>
  </si>
  <si>
    <t>Pays Ennoblissement</t>
  </si>
  <si>
    <t>Pays Confection</t>
  </si>
  <si>
    <t>Nom (lisible)</t>
  </si>
  <si>
    <t>UUID (API)</t>
  </si>
  <si>
    <t>Chanvre</t>
  </si>
  <si>
    <t>0c1a4654-b030-4fe1-86b7-d96ce0b85bb8</t>
  </si>
  <si>
    <t>Laine par défaut</t>
  </si>
  <si>
    <t>1fc3e17d-5661-429d-a150-7986eae16d9d</t>
  </si>
  <si>
    <t>Coton recyclé (déchets post-consommation)</t>
  </si>
  <si>
    <t>457e9b0d-9eda-4dca-b199-deeb0a154fa9</t>
  </si>
  <si>
    <t>Acrylique</t>
  </si>
  <si>
    <t>49a0bec0-f9f3-42db-a514-a9dcf06a8969</t>
  </si>
  <si>
    <t>Coton</t>
  </si>
  <si>
    <t>62a4d6fb-3276-4ba5-93a3-889ecd3bff84</t>
  </si>
  <si>
    <t>Laine nouvelle filière</t>
  </si>
  <si>
    <t>72e29a61-52a9-4eb5-b3fc-5fb87edea041</t>
  </si>
  <si>
    <t>Polypropylène</t>
  </si>
  <si>
    <t>73ef624d-250e-4a9a-af5d-43505b21b527</t>
  </si>
  <si>
    <t>Polyester recyclé</t>
  </si>
  <si>
    <t>8f44c680-1263-4588-b79b-a9e4dc3d8de4</t>
  </si>
  <si>
    <t>Elasthane</t>
  </si>
  <si>
    <t>9973088b-c929-4cc5-894a-1e4d28c161d4</t>
  </si>
  <si>
    <t>Polyester</t>
  </si>
  <si>
    <t>9dba0e95-0c35-4f8b-9267-62ddf47d4984</t>
  </si>
  <si>
    <t>Jute</t>
  </si>
  <si>
    <t>a09b2677-2900-4417-a202-e5f9a1abcce1</t>
  </si>
  <si>
    <t>Coton biologique</t>
  </si>
  <si>
    <t>a1c1c2ec-33b1-49d6-bf8e-139e2eb7f097</t>
  </si>
  <si>
    <t>Lin</t>
  </si>
  <si>
    <t>a52e486c-b67e-40af-8337-e8143cbf9076</t>
  </si>
  <si>
    <t>Viscose</t>
  </si>
  <si>
    <t>c087d394-5901-4b03-ba7a-7d4b0db0490c</t>
  </si>
  <si>
    <t>Nylon</t>
  </si>
  <si>
    <t>c84280ff-e921-4d5c-92d6-51030bf4f74e</t>
  </si>
  <si>
    <t>Coton recyclé (déchets de production)</t>
  </si>
  <si>
    <t>d3d20384-88fb-4c75-ac12-c647365ac6c5</t>
  </si>
  <si>
    <t>ID (API)</t>
  </si>
  <si>
    <t>Chemise</t>
  </si>
  <si>
    <t>chemise</t>
  </si>
  <si>
    <t>Jean</t>
  </si>
  <si>
    <t>jean</t>
  </si>
  <si>
    <t>Jupe / Robe</t>
  </si>
  <si>
    <t>jupe</t>
  </si>
  <si>
    <t>Manteau / Veste</t>
  </si>
  <si>
    <t>manteau</t>
  </si>
  <si>
    <t>Pantalon / Short</t>
  </si>
  <si>
    <t>pantalon</t>
  </si>
  <si>
    <t>Pull</t>
  </si>
  <si>
    <t>pull</t>
  </si>
  <si>
    <t>T-shirt / Polo</t>
  </si>
  <si>
    <t>tshirt</t>
  </si>
  <si>
    <t>Chaussettes</t>
  </si>
  <si>
    <t>chaussettes</t>
  </si>
  <si>
    <t>Caleçon (tissé)</t>
  </si>
  <si>
    <t>calecon</t>
  </si>
  <si>
    <t>Boxer / Slip (tricoté)</t>
  </si>
  <si>
    <t>slip</t>
  </si>
  <si>
    <t>Maillot de bain</t>
  </si>
  <si>
    <t>maillot-de-bain</t>
  </si>
  <si>
    <t>Code ISO (API)</t>
  </si>
  <si>
    <t>Pays inconnu (par défaut)</t>
  </si>
  <si>
    <t>---</t>
  </si>
  <si>
    <t>Région - Europe de l'Ouest</t>
  </si>
  <si>
    <t>REO</t>
  </si>
  <si>
    <t>Région - Europe de l'Est</t>
  </si>
  <si>
    <t>REE</t>
  </si>
  <si>
    <t>Région - Asie</t>
  </si>
  <si>
    <t>RAS</t>
  </si>
  <si>
    <t>Région - Afrique</t>
  </si>
  <si>
    <t>RAF</t>
  </si>
  <si>
    <t>Région - Moyen-Orient</t>
  </si>
  <si>
    <t>RME</t>
  </si>
  <si>
    <t>Région - Amérique Latine</t>
  </si>
  <si>
    <t>RLA</t>
  </si>
  <si>
    <t>Région - Amérique du nord</t>
  </si>
  <si>
    <t>RNA</t>
  </si>
  <si>
    <t>Région - Océanie</t>
  </si>
  <si>
    <t>ROC</t>
  </si>
  <si>
    <t>Myanmar</t>
  </si>
  <si>
    <t>MM</t>
  </si>
  <si>
    <t>Bangladesh</t>
  </si>
  <si>
    <t>BD</t>
  </si>
  <si>
    <t>Chine</t>
  </si>
  <si>
    <t>CN</t>
  </si>
  <si>
    <t>France</t>
  </si>
  <si>
    <t>FR</t>
  </si>
  <si>
    <t>Inde</t>
  </si>
  <si>
    <t>IN</t>
  </si>
  <si>
    <t>Cambodge</t>
  </si>
  <si>
    <t>KH</t>
  </si>
  <si>
    <t>Maroc</t>
  </si>
  <si>
    <t>MA</t>
  </si>
  <si>
    <t>Pakistan</t>
  </si>
  <si>
    <t>PK</t>
  </si>
  <si>
    <t>Tunisie</t>
  </si>
  <si>
    <t>TN</t>
  </si>
  <si>
    <t>Turquie</t>
  </si>
  <si>
    <t>TR</t>
  </si>
  <si>
    <t>Vietnam</t>
  </si>
  <si>
    <t>VN</t>
  </si>
  <si>
    <t>product_name</t>
  </si>
  <si>
    <t>product</t>
  </si>
  <si>
    <t>mass</t>
  </si>
  <si>
    <t>mat1_id</t>
  </si>
  <si>
    <t>mat1_share</t>
  </si>
  <si>
    <t>mat1_country</t>
  </si>
  <si>
    <t>mat2_id</t>
  </si>
  <si>
    <t>mat2_share</t>
  </si>
  <si>
    <t>mat2_country</t>
  </si>
  <si>
    <t>mat3_id</t>
  </si>
  <si>
    <t>mat3_share</t>
  </si>
  <si>
    <t>mat3_country</t>
  </si>
  <si>
    <t>mat4_id</t>
  </si>
  <si>
    <t>mat4_share</t>
  </si>
  <si>
    <t>mat4_country</t>
  </si>
  <si>
    <t>mat5_id</t>
  </si>
  <si>
    <t>mat5_share</t>
  </si>
  <si>
    <t>mat5_country</t>
  </si>
  <si>
    <t>countrySpinning</t>
  </si>
  <si>
    <t>countryFabric</t>
  </si>
  <si>
    <t>countryDyeing</t>
  </si>
  <si>
    <t>countryMaking</t>
  </si>
  <si>
    <t>Produit Test 001 - Jupe / Robe</t>
  </si>
  <si>
    <t>Produit Test 002 - Caleçon (tissé)</t>
  </si>
  <si>
    <t>Produit Test 003 - Chaussettes</t>
  </si>
  <si>
    <t>Produit Test 004 - T-shirt / Polo</t>
  </si>
  <si>
    <t>Produit Test 005 - Jean</t>
  </si>
  <si>
    <t>Produit Test 006 - T-shirt / Polo</t>
  </si>
  <si>
    <t>Produit Test 007 - Maillot de bain</t>
  </si>
  <si>
    <t>Produit Test 008 - Caleçon (tissé)</t>
  </si>
  <si>
    <t>Produit Test 009 - Manteau / Veste</t>
  </si>
  <si>
    <t>Produit Test 010 - Manteau / Veste</t>
  </si>
  <si>
    <t>Produit Test 011 - Pull</t>
  </si>
  <si>
    <t>Produit Test 012 - Maillot de bain</t>
  </si>
  <si>
    <t>Produit Test 013 - Caleçon (tissé)</t>
  </si>
  <si>
    <t>Produit Test 014 - Boxer / Slip (tricoté)</t>
  </si>
  <si>
    <t>Produit Test 015 - Pull</t>
  </si>
  <si>
    <t>Produit Test 016 - Jupe / Robe</t>
  </si>
  <si>
    <t>Produit Test 017 - Jean</t>
  </si>
  <si>
    <t>Produit Test 018 - Chaussettes</t>
  </si>
  <si>
    <t>Produit Test 019 - Manteau / Veste</t>
  </si>
  <si>
    <t>Produit Test 020 - Manteau / Veste</t>
  </si>
  <si>
    <t>Produit Test 021 - Pantalon / Short</t>
  </si>
  <si>
    <t>Produit Test 022 - Manteau / Veste</t>
  </si>
  <si>
    <t>Produit Test 023 - Caleçon (tissé)</t>
  </si>
  <si>
    <t>Produit Test 024 - Jean</t>
  </si>
  <si>
    <t>Produit Test 025 - Manteau / Veste</t>
  </si>
  <si>
    <t>Produit Test 026 - Boxer / Slip (tricoté)</t>
  </si>
  <si>
    <t>Produit Test 027 - Pantalon / Short</t>
  </si>
  <si>
    <t>Produit Test 028 - Pantalon / Short</t>
  </si>
  <si>
    <t>Produit Test 029 - Jupe / Robe</t>
  </si>
  <si>
    <t>Produit Test 030 - Jupe / Robe</t>
  </si>
  <si>
    <t>Produit Test 031 - Boxer / Slip (tricoté)</t>
  </si>
  <si>
    <t>Produit Test 032 - Pull</t>
  </si>
  <si>
    <t>Produit Test 033 - Maillot de bain</t>
  </si>
  <si>
    <t>Produit Test 034 - Caleçon (tissé)</t>
  </si>
  <si>
    <t>Produit Test 035 - Maillot de bain</t>
  </si>
  <si>
    <t>Produit Test 036 - Jean</t>
  </si>
  <si>
    <t>Produit Test 037 - T-shirt / Polo</t>
  </si>
  <si>
    <t>Produit Test 038 - Jean</t>
  </si>
  <si>
    <t>Produit Test 039 - Jean</t>
  </si>
  <si>
    <t>Produit Test 040 - Pull</t>
  </si>
  <si>
    <t>Produit Test 041 - Jupe / Robe</t>
  </si>
  <si>
    <t>Produit Test 042 - Boxer / Slip (tricoté)</t>
  </si>
  <si>
    <t>Produit Test 043 - Maillot de bain</t>
  </si>
  <si>
    <t>Produit Test 044 - Maillot de bain</t>
  </si>
  <si>
    <t>Produit Test 045 - Jean</t>
  </si>
  <si>
    <t>Produit Test 046 - Boxer / Slip (tricoté)</t>
  </si>
  <si>
    <t>Produit Test 047 - T-shirt / Polo</t>
  </si>
  <si>
    <t>Produit Test 048 - Chemise</t>
  </si>
  <si>
    <t>Produit Test 049 - Pantalon / Short</t>
  </si>
  <si>
    <t>Produit Test 050 - Boxer / Slip (tricoté)</t>
  </si>
  <si>
    <t>Produit Test 051 - T-shirt / Polo</t>
  </si>
  <si>
    <t>Produit Test 052 - Maillot de bain</t>
  </si>
  <si>
    <t>Produit Test 053 - Manteau / Veste</t>
  </si>
  <si>
    <t>Produit Test 054 - Pull</t>
  </si>
  <si>
    <t>Produit Test 055 - Boxer / Slip (tricoté)</t>
  </si>
  <si>
    <t>Produit Test 056 - Pantalon / Short</t>
  </si>
  <si>
    <t>Produit Test 057 - Boxer / Slip (tricoté)</t>
  </si>
  <si>
    <t>Produit Test 058 - Pantalon / Short</t>
  </si>
  <si>
    <t>Produit Test 059 - T-shirt / Polo</t>
  </si>
  <si>
    <t>Produit Test 060 - Jean</t>
  </si>
  <si>
    <t>Produit Test 061 - Maillot de bain</t>
  </si>
  <si>
    <t>Produit Test 062 - Maillot de bain</t>
  </si>
  <si>
    <t>Produit Test 063 - Manteau / Veste</t>
  </si>
  <si>
    <t>Produit Test 064 - Chaussettes</t>
  </si>
  <si>
    <t>Produit Test 065 - Chaussettes</t>
  </si>
  <si>
    <t>Produit Test 066 - Manteau / Veste</t>
  </si>
  <si>
    <t>Produit Test 067 - Manteau / Veste</t>
  </si>
  <si>
    <t>Produit Test 068 - Caleçon (tissé)</t>
  </si>
  <si>
    <t>Produit Test 069 - Chaussettes</t>
  </si>
  <si>
    <t>Produit Test 070 - Chaussettes</t>
  </si>
  <si>
    <t>Produit Test 071 - Chemise</t>
  </si>
  <si>
    <t>Produit Test 072 - Maillot de bain</t>
  </si>
  <si>
    <t>Produit Test 073 - Manteau / Veste</t>
  </si>
  <si>
    <t>Produit Test 074 - Pull</t>
  </si>
  <si>
    <t>Produit Test 075 - Boxer / Slip (tricoté)</t>
  </si>
  <si>
    <t>Produit Test 076 - Manteau / Veste</t>
  </si>
  <si>
    <t>Produit Test 077 - Jean</t>
  </si>
  <si>
    <t>Produit Test 078 - Manteau / Veste</t>
  </si>
  <si>
    <t>Produit Test 079 - Manteau / Veste</t>
  </si>
  <si>
    <t>Produit Test 080 - Pantalon / Short</t>
  </si>
  <si>
    <t>Produit Test 081 - Maillot de bain</t>
  </si>
  <si>
    <t>Produit Test 082 - Pantalon / Short</t>
  </si>
  <si>
    <t>Produit Test 083 - Maillot de bain</t>
  </si>
  <si>
    <t>Produit Test 084 - Boxer / Slip (tricoté)</t>
  </si>
  <si>
    <t>Produit Test 085 - Chaussettes</t>
  </si>
  <si>
    <t>Produit Test 086 - Manteau / Veste</t>
  </si>
  <si>
    <t>Produit Test 087 - Maillot de bain</t>
  </si>
  <si>
    <t>Produit Test 088 - Pull</t>
  </si>
  <si>
    <t>Produit Test 089 - Manteau / Veste</t>
  </si>
  <si>
    <t>Produit Test 090 - Pantalon / Short</t>
  </si>
  <si>
    <t>Produit Test 091 - Pull</t>
  </si>
  <si>
    <t>Produit Test 092 - Maillot de bain</t>
  </si>
  <si>
    <t>Produit Test 093 - T-shirt / Polo</t>
  </si>
  <si>
    <t>Produit Test 094 - Maillot de bain</t>
  </si>
  <si>
    <t>Produit Test 095 - Jupe / Robe</t>
  </si>
  <si>
    <t>Produit Test 096 - Jupe / Robe</t>
  </si>
  <si>
    <t>Produit Test 097 - Maillot de bain</t>
  </si>
  <si>
    <t>Produit Test 098 - Chaussettes</t>
  </si>
  <si>
    <t>Produit Test 099 - Boxer / Slip (tricoté)</t>
  </si>
  <si>
    <t>Produit Test 100 - T-shirt / 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</si>
</sst>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9"/>
      <color rgb="FFFFFFFF"/>
      <name val="Arial"/>
    </font>
    <font>
      <sz val="9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F4E79"/>
      </patternFill>
    </fill>
    <fill>
      <patternFill patternType="solid">
        <fgColor rgb="FFEEF3F9"/>
      </patternFill>
    </fill>
    <fill>
      <patternFill patternType="solid">
        <fgColor rgb="FF4A235A"/>
      </patternFill>
    </fill>
    <fill>
      <patternFill patternType="solid">
        <fgColor rgb="FFF5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wrapText="1"/>
    </xf>
    <xf numFmtId="0" fontId="3" fillId="4" borderId="0" xfId="0" applyFont="1" applyFill="1"/>
    <xf numFmtId="0" fontId="1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9.140625" defaultRowHeight="15" x14ac:dyDescent="0.25"/>
  <cols>
    <col min="1" max="2" width="30" customWidth="1"/>
    <col min="3" max="3" width="18" customWidth="1"/>
    <col min="4" max="4" width="30" customWidth="1"/>
    <col min="5" max="5" width="18" customWidth="1"/>
    <col min="6" max="7" width="30" customWidth="1"/>
    <col min="8" max="8" width="18" customWidth="1"/>
    <col min="9" max="10" width="30" customWidth="1"/>
    <col min="11" max="11" width="18" customWidth="1"/>
    <col min="12" max="13" width="30" customWidth="1"/>
    <col min="14" max="14" width="18" customWidth="1"/>
    <col min="15" max="16" width="30" customWidth="1"/>
    <col min="17" max="17" width="18" customWidth="1"/>
    <col min="18" max="22" width="30" customWidth="1"/>
  </cols>
  <sheetData>
    <row r="1" spans="1:22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142</v>
      </c>
      <c r="B2" t="s">
        <v>61</v>
      </c>
      <c r="C2">
        <v>0.39</v>
      </c>
      <c r="D2" t="s">
        <v>42</v>
      </c>
      <c r="E2">
        <v>1</v>
      </c>
      <c r="F2" t="s">
        <v>80</v>
      </c>
      <c r="J2" s="2"/>
      <c r="K2" s="2"/>
      <c r="L2" s="2"/>
      <c r="M2" s="2"/>
      <c r="N2" s="2"/>
      <c r="O2" s="2"/>
      <c r="P2" s="2"/>
      <c r="Q2" s="2"/>
      <c r="R2" s="2"/>
      <c r="S2" t="s">
        <v>92</v>
      </c>
      <c r="T2" t="s">
        <v>80</v>
      </c>
      <c r="U2" t="s">
        <v>96</v>
      </c>
      <c r="V2" t="s">
        <v>86</v>
      </c>
    </row>
    <row r="3" spans="1:22" x14ac:dyDescent="0.25">
      <c r="A3" t="s">
        <v>143</v>
      </c>
      <c r="B3" t="s">
        <v>73</v>
      </c>
      <c r="C3">
        <v>0.39</v>
      </c>
      <c r="D3" t="s">
        <v>54</v>
      </c>
      <c r="E3">
        <v>1</v>
      </c>
      <c r="F3" t="s">
        <v>98</v>
      </c>
      <c r="J3" s="2"/>
      <c r="K3" s="2"/>
      <c r="L3" s="2"/>
      <c r="M3" s="2"/>
      <c r="N3" s="2"/>
      <c r="O3" s="2"/>
      <c r="P3" s="2"/>
      <c r="Q3" s="2"/>
      <c r="R3" s="2"/>
      <c r="S3" t="s">
        <v>104</v>
      </c>
      <c r="T3" t="s">
        <v>108</v>
      </c>
      <c r="U3" t="s">
        <v>118</v>
      </c>
      <c r="V3" t="s">
        <v>96</v>
      </c>
    </row>
    <row r="4" spans="1:22" x14ac:dyDescent="0.25">
      <c r="A4" t="s">
        <v>144</v>
      </c>
      <c r="B4" t="s">
        <v>71</v>
      </c>
      <c r="C4">
        <v>0.1</v>
      </c>
      <c r="D4" t="s">
        <v>50</v>
      </c>
      <c r="E4">
        <v>1</v>
      </c>
      <c r="F4" t="s">
        <v>106</v>
      </c>
      <c r="J4" s="2"/>
      <c r="K4" s="2"/>
      <c r="L4" s="2"/>
      <c r="M4" s="2"/>
      <c r="N4" s="2"/>
      <c r="O4" s="2"/>
      <c r="P4" s="2"/>
      <c r="Q4" s="2"/>
      <c r="R4" s="2"/>
      <c r="S4" t="s">
        <v>96</v>
      </c>
      <c r="T4" t="s">
        <v>88</v>
      </c>
      <c r="U4" t="s">
        <v>110</v>
      </c>
      <c r="V4" t="s">
        <v>104</v>
      </c>
    </row>
    <row r="5" spans="1:22" x14ac:dyDescent="0.25">
      <c r="A5" t="s">
        <v>145</v>
      </c>
      <c r="B5" t="s">
        <v>69</v>
      </c>
      <c r="C5">
        <v>0.19</v>
      </c>
      <c r="D5" t="s">
        <v>24</v>
      </c>
      <c r="E5">
        <v>0.54</v>
      </c>
      <c r="F5" t="s">
        <v>108</v>
      </c>
      <c r="G5" t="s">
        <v>42</v>
      </c>
      <c r="H5">
        <v>0.46</v>
      </c>
      <c r="I5" t="s">
        <v>98</v>
      </c>
      <c r="J5" s="2"/>
      <c r="K5" s="2"/>
      <c r="L5" s="2"/>
      <c r="M5" s="2"/>
      <c r="N5" s="2"/>
      <c r="O5" s="2"/>
      <c r="P5" s="2"/>
      <c r="Q5" s="2"/>
      <c r="R5" s="2"/>
      <c r="S5" t="s">
        <v>96</v>
      </c>
      <c r="T5" t="s">
        <v>114</v>
      </c>
      <c r="U5" t="s">
        <v>92</v>
      </c>
      <c r="V5" t="s">
        <v>90</v>
      </c>
    </row>
    <row r="6" spans="1:22" x14ac:dyDescent="0.25">
      <c r="A6" t="s">
        <v>146</v>
      </c>
      <c r="B6" t="s">
        <v>59</v>
      </c>
      <c r="C6">
        <v>0.7</v>
      </c>
      <c r="D6" t="s">
        <v>48</v>
      </c>
      <c r="E6">
        <v>1</v>
      </c>
      <c r="F6" t="s">
        <v>100</v>
      </c>
      <c r="J6" s="2"/>
      <c r="K6" s="2"/>
      <c r="L6" s="2"/>
      <c r="M6" s="2"/>
      <c r="N6" s="2"/>
      <c r="O6" s="2"/>
      <c r="P6" s="2"/>
      <c r="Q6" s="2"/>
      <c r="R6" s="2"/>
      <c r="S6" t="s">
        <v>106</v>
      </c>
      <c r="T6" t="s">
        <v>110</v>
      </c>
      <c r="U6" t="s">
        <v>116</v>
      </c>
      <c r="V6" t="s">
        <v>116</v>
      </c>
    </row>
    <row r="7" spans="1:22" x14ac:dyDescent="0.25">
      <c r="A7" t="s">
        <v>147</v>
      </c>
      <c r="B7" t="s">
        <v>69</v>
      </c>
      <c r="C7">
        <v>0.17</v>
      </c>
      <c r="D7" t="s">
        <v>38</v>
      </c>
      <c r="E7">
        <v>0.74</v>
      </c>
      <c r="F7" t="s">
        <v>92</v>
      </c>
      <c r="G7" t="s">
        <v>28</v>
      </c>
      <c r="H7">
        <v>0.26</v>
      </c>
      <c r="I7" t="s">
        <v>96</v>
      </c>
      <c r="J7" s="2"/>
      <c r="K7" s="2"/>
      <c r="L7" s="2"/>
      <c r="M7" s="2"/>
      <c r="N7" s="2"/>
      <c r="O7" s="2"/>
      <c r="P7" s="2"/>
      <c r="Q7" s="2"/>
      <c r="R7" s="2"/>
      <c r="S7" t="s">
        <v>108</v>
      </c>
      <c r="T7" t="s">
        <v>96</v>
      </c>
      <c r="U7" t="s">
        <v>104</v>
      </c>
      <c r="V7" t="s">
        <v>94</v>
      </c>
    </row>
    <row r="8" spans="1:22" x14ac:dyDescent="0.25">
      <c r="A8" t="s">
        <v>148</v>
      </c>
      <c r="B8" t="s">
        <v>77</v>
      </c>
      <c r="C8">
        <v>0.19</v>
      </c>
      <c r="D8" t="s">
        <v>36</v>
      </c>
      <c r="E8">
        <v>0.56000000000000005</v>
      </c>
      <c r="F8" t="s">
        <v>94</v>
      </c>
      <c r="G8" t="s">
        <v>32</v>
      </c>
      <c r="H8">
        <v>0.44</v>
      </c>
      <c r="I8" t="s">
        <v>108</v>
      </c>
      <c r="J8" s="2"/>
      <c r="K8" s="2"/>
      <c r="L8" s="2"/>
      <c r="M8" s="2"/>
      <c r="N8" s="2"/>
      <c r="O8" s="2"/>
      <c r="P8" s="2"/>
      <c r="Q8" s="2"/>
      <c r="R8" s="2"/>
      <c r="S8" t="s">
        <v>116</v>
      </c>
      <c r="T8" t="s">
        <v>88</v>
      </c>
      <c r="U8" t="s">
        <v>108</v>
      </c>
      <c r="V8" t="s">
        <v>114</v>
      </c>
    </row>
    <row r="9" spans="1:22" x14ac:dyDescent="0.25">
      <c r="A9" t="s">
        <v>149</v>
      </c>
      <c r="B9" t="s">
        <v>73</v>
      </c>
      <c r="C9">
        <v>0.48</v>
      </c>
      <c r="D9" t="s">
        <v>28</v>
      </c>
      <c r="E9">
        <v>0.89</v>
      </c>
      <c r="F9" t="s">
        <v>94</v>
      </c>
      <c r="G9" t="s">
        <v>48</v>
      </c>
      <c r="H9">
        <v>0.11</v>
      </c>
      <c r="I9" t="s">
        <v>102</v>
      </c>
      <c r="J9" s="2"/>
      <c r="K9" s="2"/>
      <c r="L9" s="2"/>
      <c r="M9" s="2"/>
      <c r="N9" s="2"/>
      <c r="O9" s="2"/>
      <c r="P9" s="2"/>
      <c r="Q9" s="2"/>
      <c r="R9" s="2"/>
      <c r="S9" t="s">
        <v>112</v>
      </c>
      <c r="T9" t="s">
        <v>92</v>
      </c>
      <c r="U9" t="s">
        <v>98</v>
      </c>
      <c r="V9" t="s">
        <v>118</v>
      </c>
    </row>
    <row r="10" spans="1:22" x14ac:dyDescent="0.25">
      <c r="A10" t="s">
        <v>150</v>
      </c>
      <c r="B10" t="s">
        <v>63</v>
      </c>
      <c r="C10">
        <v>0.2</v>
      </c>
      <c r="D10" t="s">
        <v>38</v>
      </c>
      <c r="E10">
        <v>1</v>
      </c>
      <c r="F10" t="s">
        <v>104</v>
      </c>
      <c r="J10" s="2"/>
      <c r="K10" s="2"/>
      <c r="L10" s="2"/>
      <c r="M10" s="2"/>
      <c r="N10" s="2"/>
      <c r="O10" s="2"/>
      <c r="P10" s="2"/>
      <c r="Q10" s="2"/>
      <c r="R10" s="2"/>
      <c r="S10" t="s">
        <v>100</v>
      </c>
      <c r="T10" t="s">
        <v>96</v>
      </c>
      <c r="U10" t="s">
        <v>116</v>
      </c>
      <c r="V10" t="s">
        <v>82</v>
      </c>
    </row>
    <row r="11" spans="1:22" x14ac:dyDescent="0.25">
      <c r="A11" t="s">
        <v>151</v>
      </c>
      <c r="B11" t="s">
        <v>63</v>
      </c>
      <c r="C11">
        <v>0.34</v>
      </c>
      <c r="D11" t="s">
        <v>42</v>
      </c>
      <c r="E11">
        <v>1</v>
      </c>
      <c r="F11" t="s">
        <v>82</v>
      </c>
      <c r="J11" s="2"/>
      <c r="K11" s="2"/>
      <c r="L11" s="2"/>
      <c r="M11" s="2"/>
      <c r="N11" s="2"/>
      <c r="O11" s="2"/>
      <c r="P11" s="2"/>
      <c r="Q11" s="2"/>
      <c r="R11" s="2"/>
      <c r="S11" t="s">
        <v>118</v>
      </c>
      <c r="T11" t="s">
        <v>98</v>
      </c>
      <c r="U11" t="s">
        <v>102</v>
      </c>
      <c r="V11" t="s">
        <v>92</v>
      </c>
    </row>
    <row r="12" spans="1:22" x14ac:dyDescent="0.25">
      <c r="A12" t="s">
        <v>152</v>
      </c>
      <c r="B12" t="s">
        <v>67</v>
      </c>
      <c r="C12">
        <v>0.3</v>
      </c>
      <c r="D12" t="s">
        <v>44</v>
      </c>
      <c r="E12">
        <v>1</v>
      </c>
      <c r="F12" t="s">
        <v>80</v>
      </c>
      <c r="J12" s="2"/>
      <c r="K12" s="2"/>
      <c r="L12" s="2"/>
      <c r="M12" s="2"/>
      <c r="N12" s="2"/>
      <c r="O12" s="2"/>
      <c r="P12" s="2"/>
      <c r="Q12" s="2"/>
      <c r="R12" s="2"/>
      <c r="S12" t="s">
        <v>96</v>
      </c>
      <c r="T12" t="s">
        <v>90</v>
      </c>
      <c r="U12" t="s">
        <v>86</v>
      </c>
      <c r="V12" t="s">
        <v>112</v>
      </c>
    </row>
    <row r="13" spans="1:22" x14ac:dyDescent="0.25">
      <c r="A13" t="s">
        <v>153</v>
      </c>
      <c r="B13" t="s">
        <v>77</v>
      </c>
      <c r="C13">
        <v>0.22</v>
      </c>
      <c r="D13" t="s">
        <v>34</v>
      </c>
      <c r="E13">
        <v>1</v>
      </c>
      <c r="F13" t="s">
        <v>108</v>
      </c>
      <c r="J13" s="2"/>
      <c r="K13" s="2"/>
      <c r="L13" s="2"/>
      <c r="M13" s="2"/>
      <c r="N13" s="2"/>
      <c r="O13" s="2"/>
      <c r="P13" s="2"/>
      <c r="Q13" s="2"/>
      <c r="R13" s="2"/>
      <c r="S13" t="s">
        <v>114</v>
      </c>
      <c r="T13" t="s">
        <v>94</v>
      </c>
      <c r="U13" t="s">
        <v>90</v>
      </c>
      <c r="V13" t="s">
        <v>86</v>
      </c>
    </row>
    <row r="14" spans="1:22" x14ac:dyDescent="0.25">
      <c r="A14" t="s">
        <v>154</v>
      </c>
      <c r="B14" t="s">
        <v>73</v>
      </c>
      <c r="C14">
        <v>0.5</v>
      </c>
      <c r="D14" t="s">
        <v>52</v>
      </c>
      <c r="E14">
        <v>0.87</v>
      </c>
      <c r="F14" t="s">
        <v>108</v>
      </c>
      <c r="G14" t="s">
        <v>32</v>
      </c>
      <c r="H14">
        <v>0.13</v>
      </c>
      <c r="I14" t="s">
        <v>104</v>
      </c>
      <c r="J14" s="2"/>
      <c r="K14" s="2"/>
      <c r="L14" s="2"/>
      <c r="M14" s="2"/>
      <c r="N14" s="2"/>
      <c r="O14" s="2"/>
      <c r="P14" s="2"/>
      <c r="Q14" s="2"/>
      <c r="R14" s="2"/>
      <c r="S14" t="s">
        <v>106</v>
      </c>
      <c r="T14" t="s">
        <v>98</v>
      </c>
      <c r="U14" t="s">
        <v>98</v>
      </c>
      <c r="V14" t="s">
        <v>84</v>
      </c>
    </row>
    <row r="15" spans="1:22" x14ac:dyDescent="0.25">
      <c r="A15" t="s">
        <v>155</v>
      </c>
      <c r="B15" t="s">
        <v>75</v>
      </c>
      <c r="C15">
        <v>0.28999999999999998</v>
      </c>
      <c r="D15" t="s">
        <v>40</v>
      </c>
      <c r="E15">
        <v>0.66</v>
      </c>
      <c r="F15" t="s">
        <v>82</v>
      </c>
      <c r="G15" t="s">
        <v>32</v>
      </c>
      <c r="H15">
        <v>0.34</v>
      </c>
      <c r="I15" t="s">
        <v>104</v>
      </c>
      <c r="J15" s="2"/>
      <c r="K15" s="2"/>
      <c r="L15" s="2"/>
      <c r="M15" s="2"/>
      <c r="N15" s="2"/>
      <c r="O15" s="2"/>
      <c r="P15" s="2"/>
      <c r="Q15" s="2"/>
      <c r="R15" s="2"/>
      <c r="S15" t="s">
        <v>86</v>
      </c>
      <c r="T15" t="s">
        <v>94</v>
      </c>
      <c r="U15" t="s">
        <v>118</v>
      </c>
      <c r="V15" t="s">
        <v>92</v>
      </c>
    </row>
    <row r="16" spans="1:22" x14ac:dyDescent="0.25">
      <c r="A16" t="s">
        <v>156</v>
      </c>
      <c r="B16" t="s">
        <v>67</v>
      </c>
      <c r="C16">
        <v>0.37</v>
      </c>
      <c r="D16" t="s">
        <v>40</v>
      </c>
      <c r="E16">
        <v>1</v>
      </c>
      <c r="F16" t="s">
        <v>112</v>
      </c>
      <c r="J16" s="2"/>
      <c r="K16" s="2"/>
      <c r="L16" s="2"/>
      <c r="M16" s="2"/>
      <c r="N16" s="2"/>
      <c r="O16" s="2"/>
      <c r="P16" s="2"/>
      <c r="Q16" s="2"/>
      <c r="R16" s="2"/>
      <c r="S16" t="s">
        <v>118</v>
      </c>
      <c r="T16" t="s">
        <v>94</v>
      </c>
      <c r="U16" t="s">
        <v>80</v>
      </c>
      <c r="V16" t="s">
        <v>110</v>
      </c>
    </row>
    <row r="17" spans="1:22" x14ac:dyDescent="0.25">
      <c r="A17" t="s">
        <v>157</v>
      </c>
      <c r="B17" t="s">
        <v>61</v>
      </c>
      <c r="C17">
        <v>0.33</v>
      </c>
      <c r="D17" t="s">
        <v>54</v>
      </c>
      <c r="E17">
        <v>0.79</v>
      </c>
      <c r="F17" t="s">
        <v>80</v>
      </c>
      <c r="G17" t="s">
        <v>28</v>
      </c>
      <c r="H17">
        <v>0.21</v>
      </c>
      <c r="I17" t="s">
        <v>80</v>
      </c>
      <c r="J17" s="2"/>
      <c r="K17" s="2"/>
      <c r="L17" s="2"/>
      <c r="M17" s="2"/>
      <c r="N17" s="2"/>
      <c r="O17" s="2"/>
      <c r="P17" s="2"/>
      <c r="Q17" s="2"/>
      <c r="R17" s="2"/>
      <c r="S17" t="s">
        <v>94</v>
      </c>
      <c r="T17" t="s">
        <v>102</v>
      </c>
      <c r="U17" t="s">
        <v>96</v>
      </c>
      <c r="V17" t="s">
        <v>96</v>
      </c>
    </row>
    <row r="18" spans="1:22" x14ac:dyDescent="0.25">
      <c r="A18" t="s">
        <v>158</v>
      </c>
      <c r="B18" t="s">
        <v>59</v>
      </c>
      <c r="C18">
        <v>0.73</v>
      </c>
      <c r="D18" t="s">
        <v>50</v>
      </c>
      <c r="E18">
        <v>0.78</v>
      </c>
      <c r="F18" t="s">
        <v>82</v>
      </c>
      <c r="G18" t="s">
        <v>52</v>
      </c>
      <c r="H18">
        <v>0.22</v>
      </c>
      <c r="I18" t="s">
        <v>102</v>
      </c>
      <c r="J18" s="2"/>
      <c r="K18" s="2"/>
      <c r="L18" s="2"/>
      <c r="M18" s="2"/>
      <c r="N18" s="2"/>
      <c r="O18" s="2"/>
      <c r="P18" s="2"/>
      <c r="Q18" s="2"/>
      <c r="R18" s="2"/>
      <c r="S18" t="s">
        <v>80</v>
      </c>
      <c r="T18" t="s">
        <v>100</v>
      </c>
      <c r="U18" t="s">
        <v>80</v>
      </c>
      <c r="V18" t="s">
        <v>84</v>
      </c>
    </row>
    <row r="19" spans="1:22" x14ac:dyDescent="0.25">
      <c r="A19" t="s">
        <v>159</v>
      </c>
      <c r="B19" t="s">
        <v>71</v>
      </c>
      <c r="C19">
        <v>0.1</v>
      </c>
      <c r="D19" t="s">
        <v>38</v>
      </c>
      <c r="E19">
        <v>0.83</v>
      </c>
      <c r="F19" t="s">
        <v>116</v>
      </c>
      <c r="G19" t="s">
        <v>24</v>
      </c>
      <c r="H19">
        <v>0.17</v>
      </c>
      <c r="I19" t="s">
        <v>102</v>
      </c>
      <c r="J19" s="2"/>
      <c r="K19" s="2"/>
      <c r="L19" s="2"/>
      <c r="M19" s="2"/>
      <c r="N19" s="2"/>
      <c r="O19" s="2"/>
      <c r="P19" s="2"/>
      <c r="Q19" s="2"/>
      <c r="R19" s="2"/>
      <c r="S19" t="s">
        <v>90</v>
      </c>
      <c r="T19" t="s">
        <v>98</v>
      </c>
      <c r="U19" t="s">
        <v>96</v>
      </c>
      <c r="V19" t="s">
        <v>104</v>
      </c>
    </row>
    <row r="20" spans="1:22" x14ac:dyDescent="0.25">
      <c r="A20" t="s">
        <v>160</v>
      </c>
      <c r="B20" t="s">
        <v>63</v>
      </c>
      <c r="C20">
        <v>0.37</v>
      </c>
      <c r="D20" t="s">
        <v>28</v>
      </c>
      <c r="E20">
        <v>1</v>
      </c>
      <c r="F20" t="s">
        <v>114</v>
      </c>
      <c r="J20" s="2"/>
      <c r="K20" s="2"/>
      <c r="L20" s="2"/>
      <c r="M20" s="2"/>
      <c r="N20" s="2"/>
      <c r="O20" s="2"/>
      <c r="P20" s="2"/>
      <c r="Q20" s="2"/>
      <c r="R20" s="2"/>
      <c r="S20" t="s">
        <v>94</v>
      </c>
      <c r="T20" t="s">
        <v>98</v>
      </c>
      <c r="U20" t="s">
        <v>88</v>
      </c>
      <c r="V20" t="s">
        <v>118</v>
      </c>
    </row>
    <row r="21" spans="1:22" x14ac:dyDescent="0.25">
      <c r="A21" t="s">
        <v>161</v>
      </c>
      <c r="B21" t="s">
        <v>63</v>
      </c>
      <c r="C21">
        <v>0.25</v>
      </c>
      <c r="D21" t="s">
        <v>48</v>
      </c>
      <c r="E21">
        <v>1</v>
      </c>
      <c r="F21" t="s">
        <v>86</v>
      </c>
      <c r="J21" s="2"/>
      <c r="K21" s="2"/>
      <c r="L21" s="2"/>
      <c r="M21" s="2"/>
      <c r="N21" s="2"/>
      <c r="O21" s="2"/>
      <c r="P21" s="2"/>
      <c r="Q21" s="2"/>
      <c r="R21" s="2"/>
      <c r="S21" t="s">
        <v>114</v>
      </c>
      <c r="T21" t="s">
        <v>114</v>
      </c>
      <c r="U21" t="s">
        <v>82</v>
      </c>
      <c r="V21" t="s">
        <v>112</v>
      </c>
    </row>
    <row r="22" spans="1:22" x14ac:dyDescent="0.25">
      <c r="A22" t="s">
        <v>162</v>
      </c>
      <c r="B22" t="s">
        <v>65</v>
      </c>
      <c r="C22">
        <v>0.42</v>
      </c>
      <c r="D22" t="s">
        <v>50</v>
      </c>
      <c r="E22">
        <v>1</v>
      </c>
      <c r="F22" t="s">
        <v>116</v>
      </c>
      <c r="J22" s="2"/>
      <c r="K22" s="2"/>
      <c r="L22" s="2"/>
      <c r="M22" s="2"/>
      <c r="N22" s="2"/>
      <c r="O22" s="2"/>
      <c r="P22" s="2"/>
      <c r="Q22" s="2"/>
      <c r="R22" s="2"/>
      <c r="S22" t="s">
        <v>90</v>
      </c>
      <c r="T22" t="s">
        <v>84</v>
      </c>
      <c r="U22" t="s">
        <v>92</v>
      </c>
      <c r="V22" t="s">
        <v>106</v>
      </c>
    </row>
    <row r="23" spans="1:22" x14ac:dyDescent="0.25">
      <c r="A23" t="s">
        <v>163</v>
      </c>
      <c r="B23" t="s">
        <v>63</v>
      </c>
      <c r="C23">
        <v>0.48</v>
      </c>
      <c r="D23" t="s">
        <v>54</v>
      </c>
      <c r="E23">
        <v>1</v>
      </c>
      <c r="F23" t="s">
        <v>102</v>
      </c>
      <c r="J23" s="2"/>
      <c r="K23" s="2"/>
      <c r="L23" s="2"/>
      <c r="M23" s="2"/>
      <c r="N23" s="2"/>
      <c r="O23" s="2"/>
      <c r="P23" s="2"/>
      <c r="Q23" s="2"/>
      <c r="R23" s="2"/>
      <c r="S23" t="s">
        <v>110</v>
      </c>
      <c r="T23" t="s">
        <v>106</v>
      </c>
      <c r="U23" t="s">
        <v>96</v>
      </c>
      <c r="V23" t="s">
        <v>116</v>
      </c>
    </row>
    <row r="24" spans="1:22" x14ac:dyDescent="0.25">
      <c r="A24" t="s">
        <v>164</v>
      </c>
      <c r="B24" t="s">
        <v>73</v>
      </c>
      <c r="C24">
        <v>0.39</v>
      </c>
      <c r="D24" t="s">
        <v>38</v>
      </c>
      <c r="E24">
        <v>1</v>
      </c>
      <c r="F24" t="s">
        <v>88</v>
      </c>
      <c r="J24" s="2"/>
      <c r="K24" s="2"/>
      <c r="L24" s="2"/>
      <c r="M24" s="2"/>
      <c r="N24" s="2"/>
      <c r="O24" s="2"/>
      <c r="P24" s="2"/>
      <c r="Q24" s="2"/>
      <c r="R24" s="2"/>
      <c r="S24" t="s">
        <v>106</v>
      </c>
      <c r="T24" t="s">
        <v>86</v>
      </c>
      <c r="U24" t="s">
        <v>98</v>
      </c>
      <c r="V24" t="s">
        <v>84</v>
      </c>
    </row>
    <row r="25" spans="1:22" x14ac:dyDescent="0.25">
      <c r="A25" t="s">
        <v>165</v>
      </c>
      <c r="B25" t="s">
        <v>59</v>
      </c>
      <c r="C25">
        <v>0.83</v>
      </c>
      <c r="D25" t="s">
        <v>28</v>
      </c>
      <c r="E25">
        <v>0.7</v>
      </c>
      <c r="F25" t="s">
        <v>112</v>
      </c>
      <c r="G25" t="s">
        <v>34</v>
      </c>
      <c r="H25">
        <v>0.3</v>
      </c>
      <c r="I25" t="s">
        <v>84</v>
      </c>
      <c r="J25" s="2"/>
      <c r="K25" s="2"/>
      <c r="L25" s="2"/>
      <c r="M25" s="2"/>
      <c r="N25" s="2"/>
      <c r="O25" s="2"/>
      <c r="P25" s="2"/>
      <c r="Q25" s="2"/>
      <c r="R25" s="2"/>
      <c r="S25" t="s">
        <v>96</v>
      </c>
      <c r="T25" t="s">
        <v>80</v>
      </c>
      <c r="U25" t="s">
        <v>108</v>
      </c>
      <c r="V25" t="s">
        <v>114</v>
      </c>
    </row>
    <row r="26" spans="1:22" x14ac:dyDescent="0.25">
      <c r="A26" t="s">
        <v>166</v>
      </c>
      <c r="B26" t="s">
        <v>63</v>
      </c>
      <c r="C26">
        <v>0.38</v>
      </c>
      <c r="D26" t="s">
        <v>26</v>
      </c>
      <c r="E26">
        <v>1</v>
      </c>
      <c r="F26" t="s">
        <v>114</v>
      </c>
      <c r="J26" s="2"/>
      <c r="K26" s="2"/>
      <c r="L26" s="2"/>
      <c r="M26" s="2"/>
      <c r="N26" s="2"/>
      <c r="O26" s="2"/>
      <c r="P26" s="2"/>
      <c r="Q26" s="2"/>
      <c r="R26" s="2"/>
      <c r="S26" t="s">
        <v>114</v>
      </c>
      <c r="T26" t="s">
        <v>92</v>
      </c>
      <c r="U26" t="s">
        <v>104</v>
      </c>
      <c r="V26" t="s">
        <v>100</v>
      </c>
    </row>
    <row r="27" spans="1:22" x14ac:dyDescent="0.25">
      <c r="A27" t="s">
        <v>167</v>
      </c>
      <c r="B27" t="s">
        <v>75</v>
      </c>
      <c r="C27">
        <v>0.33</v>
      </c>
      <c r="D27" t="s">
        <v>34</v>
      </c>
      <c r="E27">
        <v>1</v>
      </c>
      <c r="F27" t="s">
        <v>112</v>
      </c>
      <c r="J27" s="2"/>
      <c r="K27" s="2"/>
      <c r="L27" s="2"/>
      <c r="M27" s="2"/>
      <c r="N27" s="2"/>
      <c r="O27" s="2"/>
      <c r="P27" s="2"/>
      <c r="Q27" s="2"/>
      <c r="R27" s="2"/>
      <c r="S27" t="s">
        <v>90</v>
      </c>
      <c r="T27" t="s">
        <v>118</v>
      </c>
      <c r="U27" t="s">
        <v>94</v>
      </c>
      <c r="V27" t="s">
        <v>102</v>
      </c>
    </row>
    <row r="28" spans="1:22" x14ac:dyDescent="0.25">
      <c r="A28" t="s">
        <v>168</v>
      </c>
      <c r="B28" t="s">
        <v>65</v>
      </c>
      <c r="C28">
        <v>0.19</v>
      </c>
      <c r="D28" t="s">
        <v>38</v>
      </c>
      <c r="E28">
        <v>0.9</v>
      </c>
      <c r="F28" t="s">
        <v>106</v>
      </c>
      <c r="G28" t="s">
        <v>30</v>
      </c>
      <c r="H28">
        <v>0.1</v>
      </c>
      <c r="I28" t="s">
        <v>96</v>
      </c>
      <c r="J28" s="2"/>
      <c r="K28" s="2"/>
      <c r="L28" s="2"/>
      <c r="M28" s="2"/>
      <c r="N28" s="2"/>
      <c r="O28" s="2"/>
      <c r="P28" s="2"/>
      <c r="Q28" s="2"/>
      <c r="R28" s="2"/>
      <c r="S28" t="s">
        <v>118</v>
      </c>
      <c r="T28" t="s">
        <v>88</v>
      </c>
      <c r="U28" t="s">
        <v>86</v>
      </c>
      <c r="V28" t="s">
        <v>94</v>
      </c>
    </row>
    <row r="29" spans="1:22" x14ac:dyDescent="0.25">
      <c r="A29" t="s">
        <v>169</v>
      </c>
      <c r="B29" t="s">
        <v>65</v>
      </c>
      <c r="C29">
        <v>0.26</v>
      </c>
      <c r="D29" t="s">
        <v>46</v>
      </c>
      <c r="E29">
        <v>1</v>
      </c>
      <c r="F29" t="s">
        <v>98</v>
      </c>
      <c r="J29" s="2"/>
      <c r="K29" s="2"/>
      <c r="L29" s="2"/>
      <c r="M29" s="2"/>
      <c r="N29" s="2"/>
      <c r="O29" s="2"/>
      <c r="P29" s="2"/>
      <c r="Q29" s="2"/>
      <c r="R29" s="2"/>
      <c r="S29" t="s">
        <v>106</v>
      </c>
      <c r="T29" t="s">
        <v>92</v>
      </c>
      <c r="U29" t="s">
        <v>102</v>
      </c>
      <c r="V29" t="s">
        <v>114</v>
      </c>
    </row>
    <row r="30" spans="1:22" x14ac:dyDescent="0.25">
      <c r="A30" t="s">
        <v>170</v>
      </c>
      <c r="B30" t="s">
        <v>61</v>
      </c>
      <c r="C30">
        <v>0.37</v>
      </c>
      <c r="D30" t="s">
        <v>34</v>
      </c>
      <c r="E30">
        <v>1</v>
      </c>
      <c r="F30" t="s">
        <v>108</v>
      </c>
      <c r="J30" s="2"/>
      <c r="K30" s="2"/>
      <c r="L30" s="2"/>
      <c r="M30" s="2"/>
      <c r="N30" s="2"/>
      <c r="O30" s="2"/>
      <c r="P30" s="2"/>
      <c r="Q30" s="2"/>
      <c r="R30" s="2"/>
      <c r="S30" t="s">
        <v>92</v>
      </c>
      <c r="T30" t="s">
        <v>100</v>
      </c>
      <c r="U30" t="s">
        <v>110</v>
      </c>
      <c r="V30" t="s">
        <v>92</v>
      </c>
    </row>
    <row r="31" spans="1:22" x14ac:dyDescent="0.25">
      <c r="A31" t="s">
        <v>171</v>
      </c>
      <c r="B31" t="s">
        <v>61</v>
      </c>
      <c r="C31">
        <v>0.2</v>
      </c>
      <c r="D31" t="s">
        <v>42</v>
      </c>
      <c r="E31">
        <v>0.51</v>
      </c>
      <c r="F31" t="s">
        <v>90</v>
      </c>
      <c r="G31" t="s">
        <v>32</v>
      </c>
      <c r="H31">
        <v>0.49</v>
      </c>
      <c r="I31" t="s">
        <v>92</v>
      </c>
      <c r="J31" s="2"/>
      <c r="K31" s="2"/>
      <c r="L31" s="2"/>
      <c r="M31" s="2"/>
      <c r="N31" s="2"/>
      <c r="O31" s="2"/>
      <c r="P31" s="2"/>
      <c r="Q31" s="2"/>
      <c r="R31" s="2"/>
      <c r="S31" t="s">
        <v>112</v>
      </c>
      <c r="T31" t="s">
        <v>116</v>
      </c>
      <c r="U31" t="s">
        <v>90</v>
      </c>
      <c r="V31" t="s">
        <v>96</v>
      </c>
    </row>
    <row r="32" spans="1:22" x14ac:dyDescent="0.25">
      <c r="A32" t="s">
        <v>172</v>
      </c>
      <c r="B32" t="s">
        <v>75</v>
      </c>
      <c r="C32">
        <v>0.28000000000000003</v>
      </c>
      <c r="D32" t="s">
        <v>38</v>
      </c>
      <c r="E32">
        <v>0.66</v>
      </c>
      <c r="F32" t="s">
        <v>104</v>
      </c>
      <c r="G32" t="s">
        <v>44</v>
      </c>
      <c r="H32">
        <v>0.34</v>
      </c>
      <c r="I32" t="s">
        <v>114</v>
      </c>
      <c r="J32" s="2"/>
      <c r="K32" s="2"/>
      <c r="L32" s="2"/>
      <c r="M32" s="2"/>
      <c r="N32" s="2"/>
      <c r="O32" s="2"/>
      <c r="P32" s="2"/>
      <c r="Q32" s="2"/>
      <c r="R32" s="2"/>
      <c r="S32" t="s">
        <v>82</v>
      </c>
      <c r="T32" t="s">
        <v>98</v>
      </c>
      <c r="U32" t="s">
        <v>96</v>
      </c>
      <c r="V32" t="s">
        <v>104</v>
      </c>
    </row>
    <row r="33" spans="1:22" x14ac:dyDescent="0.25">
      <c r="A33" t="s">
        <v>173</v>
      </c>
      <c r="B33" t="s">
        <v>67</v>
      </c>
      <c r="C33">
        <v>0.65</v>
      </c>
      <c r="D33" t="s">
        <v>44</v>
      </c>
      <c r="E33">
        <v>1</v>
      </c>
      <c r="F33" t="s">
        <v>100</v>
      </c>
      <c r="J33" s="2"/>
      <c r="K33" s="2"/>
      <c r="L33" s="2"/>
      <c r="M33" s="2"/>
      <c r="N33" s="2"/>
      <c r="O33" s="2"/>
      <c r="P33" s="2"/>
      <c r="Q33" s="2"/>
      <c r="R33" s="2"/>
      <c r="S33" t="s">
        <v>100</v>
      </c>
      <c r="T33" t="s">
        <v>82</v>
      </c>
      <c r="U33" t="s">
        <v>114</v>
      </c>
      <c r="V33" t="s">
        <v>94</v>
      </c>
    </row>
    <row r="34" spans="1:22" x14ac:dyDescent="0.25">
      <c r="A34" t="s">
        <v>174</v>
      </c>
      <c r="B34" t="s">
        <v>77</v>
      </c>
      <c r="C34">
        <v>0.43</v>
      </c>
      <c r="D34" t="s">
        <v>26</v>
      </c>
      <c r="E34">
        <v>0.52</v>
      </c>
      <c r="F34" t="s">
        <v>92</v>
      </c>
      <c r="G34" t="s">
        <v>40</v>
      </c>
      <c r="H34">
        <v>0.48</v>
      </c>
      <c r="I34" t="s">
        <v>104</v>
      </c>
      <c r="J34" s="2"/>
      <c r="K34" s="2"/>
      <c r="L34" s="2"/>
      <c r="M34" s="2"/>
      <c r="N34" s="2"/>
      <c r="O34" s="2"/>
      <c r="P34" s="2"/>
      <c r="Q34" s="2"/>
      <c r="R34" s="2"/>
      <c r="S34" t="s">
        <v>100</v>
      </c>
      <c r="T34" t="s">
        <v>94</v>
      </c>
      <c r="U34" t="s">
        <v>90</v>
      </c>
      <c r="V34" t="s">
        <v>92</v>
      </c>
    </row>
    <row r="35" spans="1:22" x14ac:dyDescent="0.25">
      <c r="A35" t="s">
        <v>175</v>
      </c>
      <c r="B35" t="s">
        <v>73</v>
      </c>
      <c r="C35">
        <v>0.48</v>
      </c>
      <c r="D35" t="s">
        <v>40</v>
      </c>
      <c r="E35">
        <v>1</v>
      </c>
      <c r="F35" t="s">
        <v>104</v>
      </c>
      <c r="J35" s="2"/>
      <c r="K35" s="2"/>
      <c r="L35" s="2"/>
      <c r="M35" s="2"/>
      <c r="N35" s="2"/>
      <c r="O35" s="2"/>
      <c r="P35" s="2"/>
      <c r="Q35" s="2"/>
      <c r="R35" s="2"/>
      <c r="S35" t="s">
        <v>94</v>
      </c>
      <c r="T35" t="s">
        <v>84</v>
      </c>
      <c r="U35" t="s">
        <v>118</v>
      </c>
      <c r="V35" t="s">
        <v>94</v>
      </c>
    </row>
    <row r="36" spans="1:22" x14ac:dyDescent="0.25">
      <c r="A36" t="s">
        <v>176</v>
      </c>
      <c r="B36" t="s">
        <v>77</v>
      </c>
      <c r="C36">
        <v>0.42</v>
      </c>
      <c r="D36" t="s">
        <v>24</v>
      </c>
      <c r="E36">
        <v>0.72</v>
      </c>
      <c r="F36" t="s">
        <v>116</v>
      </c>
      <c r="G36" t="s">
        <v>54</v>
      </c>
      <c r="H36">
        <v>0.28000000000000003</v>
      </c>
      <c r="I36" t="s">
        <v>80</v>
      </c>
      <c r="J36" s="2"/>
      <c r="K36" s="2"/>
      <c r="L36" s="2"/>
      <c r="M36" s="2"/>
      <c r="N36" s="2"/>
      <c r="O36" s="2"/>
      <c r="P36" s="2"/>
      <c r="Q36" s="2"/>
      <c r="R36" s="2"/>
      <c r="S36" t="s">
        <v>108</v>
      </c>
      <c r="T36" t="s">
        <v>86</v>
      </c>
      <c r="U36" t="s">
        <v>92</v>
      </c>
      <c r="V36" t="s">
        <v>86</v>
      </c>
    </row>
    <row r="37" spans="1:22" x14ac:dyDescent="0.25">
      <c r="A37" t="s">
        <v>177</v>
      </c>
      <c r="B37" t="s">
        <v>59</v>
      </c>
      <c r="C37">
        <v>0.55000000000000004</v>
      </c>
      <c r="D37" t="s">
        <v>34</v>
      </c>
      <c r="E37">
        <v>1</v>
      </c>
      <c r="F37" t="s">
        <v>118</v>
      </c>
      <c r="J37" s="2"/>
      <c r="K37" s="2"/>
      <c r="L37" s="2"/>
      <c r="M37" s="2"/>
      <c r="N37" s="2"/>
      <c r="O37" s="2"/>
      <c r="P37" s="2"/>
      <c r="Q37" s="2"/>
      <c r="R37" s="2"/>
      <c r="S37" t="s">
        <v>106</v>
      </c>
      <c r="T37" t="s">
        <v>116</v>
      </c>
      <c r="U37" t="s">
        <v>108</v>
      </c>
      <c r="V37" t="s">
        <v>84</v>
      </c>
    </row>
    <row r="38" spans="1:22" x14ac:dyDescent="0.25">
      <c r="A38" t="s">
        <v>178</v>
      </c>
      <c r="B38" t="s">
        <v>69</v>
      </c>
      <c r="C38">
        <v>0.24</v>
      </c>
      <c r="D38" t="s">
        <v>44</v>
      </c>
      <c r="E38">
        <v>0.9</v>
      </c>
      <c r="F38" t="s">
        <v>82</v>
      </c>
      <c r="G38" t="s">
        <v>46</v>
      </c>
      <c r="H38">
        <v>0.1</v>
      </c>
      <c r="I38" t="s">
        <v>102</v>
      </c>
      <c r="J38" s="2"/>
      <c r="K38" s="2"/>
      <c r="L38" s="2"/>
      <c r="M38" s="2"/>
      <c r="N38" s="2"/>
      <c r="O38" s="2"/>
      <c r="P38" s="2"/>
      <c r="Q38" s="2"/>
      <c r="R38" s="2"/>
      <c r="S38" t="s">
        <v>100</v>
      </c>
      <c r="T38" t="s">
        <v>82</v>
      </c>
      <c r="U38" t="s">
        <v>98</v>
      </c>
      <c r="V38" t="s">
        <v>96</v>
      </c>
    </row>
    <row r="39" spans="1:22" x14ac:dyDescent="0.25">
      <c r="A39" t="s">
        <v>179</v>
      </c>
      <c r="B39" t="s">
        <v>59</v>
      </c>
      <c r="C39">
        <v>0.53</v>
      </c>
      <c r="D39" t="s">
        <v>40</v>
      </c>
      <c r="E39">
        <v>0.69</v>
      </c>
      <c r="F39" t="s">
        <v>82</v>
      </c>
      <c r="G39" t="s">
        <v>50</v>
      </c>
      <c r="H39">
        <v>0.31</v>
      </c>
      <c r="I39" t="s">
        <v>104</v>
      </c>
      <c r="J39" s="2"/>
      <c r="K39" s="2"/>
      <c r="L39" s="2"/>
      <c r="M39" s="2"/>
      <c r="N39" s="2"/>
      <c r="O39" s="2"/>
      <c r="P39" s="2"/>
      <c r="Q39" s="2"/>
      <c r="R39" s="2"/>
      <c r="S39" t="s">
        <v>110</v>
      </c>
      <c r="T39" t="s">
        <v>98</v>
      </c>
      <c r="U39" t="s">
        <v>112</v>
      </c>
      <c r="V39" t="s">
        <v>90</v>
      </c>
    </row>
    <row r="40" spans="1:22" x14ac:dyDescent="0.25">
      <c r="A40" t="s">
        <v>180</v>
      </c>
      <c r="B40" t="s">
        <v>59</v>
      </c>
      <c r="C40">
        <v>0.81</v>
      </c>
      <c r="D40" t="s">
        <v>32</v>
      </c>
      <c r="E40">
        <v>0.52</v>
      </c>
      <c r="F40" t="s">
        <v>90</v>
      </c>
      <c r="G40" t="s">
        <v>26</v>
      </c>
      <c r="H40">
        <v>0.48</v>
      </c>
      <c r="I40" t="s">
        <v>94</v>
      </c>
      <c r="J40" s="2"/>
      <c r="K40" s="2"/>
      <c r="L40" s="2"/>
      <c r="M40" s="2"/>
      <c r="N40" s="2"/>
      <c r="O40" s="2"/>
      <c r="P40" s="2"/>
      <c r="Q40" s="2"/>
      <c r="R40" s="2"/>
      <c r="S40" t="s">
        <v>110</v>
      </c>
      <c r="T40" t="s">
        <v>88</v>
      </c>
      <c r="U40" t="s">
        <v>88</v>
      </c>
      <c r="V40" t="s">
        <v>92</v>
      </c>
    </row>
    <row r="41" spans="1:22" x14ac:dyDescent="0.25">
      <c r="A41" t="s">
        <v>181</v>
      </c>
      <c r="B41" t="s">
        <v>67</v>
      </c>
      <c r="C41">
        <v>0.49</v>
      </c>
      <c r="D41" t="s">
        <v>54</v>
      </c>
      <c r="E41">
        <v>1</v>
      </c>
      <c r="F41" t="s">
        <v>104</v>
      </c>
      <c r="J41" s="2"/>
      <c r="K41" s="2"/>
      <c r="L41" s="2"/>
      <c r="M41" s="2"/>
      <c r="N41" s="2"/>
      <c r="O41" s="2"/>
      <c r="P41" s="2"/>
      <c r="Q41" s="2"/>
      <c r="R41" s="2"/>
      <c r="S41" t="s">
        <v>110</v>
      </c>
      <c r="T41" t="s">
        <v>92</v>
      </c>
      <c r="U41" t="s">
        <v>88</v>
      </c>
      <c r="V41" t="s">
        <v>98</v>
      </c>
    </row>
    <row r="42" spans="1:22" x14ac:dyDescent="0.25">
      <c r="A42" t="s">
        <v>182</v>
      </c>
      <c r="B42" t="s">
        <v>61</v>
      </c>
      <c r="C42">
        <v>0.19</v>
      </c>
      <c r="D42" t="s">
        <v>44</v>
      </c>
      <c r="E42">
        <v>1</v>
      </c>
      <c r="F42" t="s">
        <v>118</v>
      </c>
      <c r="J42" s="2"/>
      <c r="K42" s="2"/>
      <c r="L42" s="2"/>
      <c r="M42" s="2"/>
      <c r="N42" s="2"/>
      <c r="O42" s="2"/>
      <c r="P42" s="2"/>
      <c r="Q42" s="2"/>
      <c r="R42" s="2"/>
      <c r="S42" t="s">
        <v>118</v>
      </c>
      <c r="T42" t="s">
        <v>80</v>
      </c>
      <c r="U42" t="s">
        <v>84</v>
      </c>
      <c r="V42" t="s">
        <v>114</v>
      </c>
    </row>
    <row r="43" spans="1:22" x14ac:dyDescent="0.25">
      <c r="A43" t="s">
        <v>183</v>
      </c>
      <c r="B43" t="s">
        <v>75</v>
      </c>
      <c r="C43">
        <v>0.33</v>
      </c>
      <c r="D43" t="s">
        <v>34</v>
      </c>
      <c r="E43">
        <v>0.5</v>
      </c>
      <c r="F43" t="s">
        <v>110</v>
      </c>
      <c r="G43" t="s">
        <v>52</v>
      </c>
      <c r="H43">
        <v>0.5</v>
      </c>
      <c r="I43" t="s">
        <v>82</v>
      </c>
      <c r="J43" s="2"/>
      <c r="K43" s="2"/>
      <c r="L43" s="2"/>
      <c r="M43" s="2"/>
      <c r="N43" s="2"/>
      <c r="O43" s="2"/>
      <c r="P43" s="2"/>
      <c r="Q43" s="2"/>
      <c r="R43" s="2"/>
      <c r="S43" t="s">
        <v>92</v>
      </c>
      <c r="T43" t="s">
        <v>112</v>
      </c>
      <c r="U43" t="s">
        <v>84</v>
      </c>
      <c r="V43" t="s">
        <v>110</v>
      </c>
    </row>
    <row r="44" spans="1:22" x14ac:dyDescent="0.25">
      <c r="A44" t="s">
        <v>184</v>
      </c>
      <c r="B44" t="s">
        <v>77</v>
      </c>
      <c r="C44">
        <v>0.23</v>
      </c>
      <c r="D44" t="s">
        <v>28</v>
      </c>
      <c r="E44">
        <v>1</v>
      </c>
      <c r="F44" t="s">
        <v>114</v>
      </c>
      <c r="J44" s="2"/>
      <c r="K44" s="2"/>
      <c r="L44" s="2"/>
      <c r="M44" s="2"/>
      <c r="N44" s="2"/>
      <c r="O44" s="2"/>
      <c r="P44" s="2"/>
      <c r="Q44" s="2"/>
      <c r="R44" s="2"/>
      <c r="S44" t="s">
        <v>112</v>
      </c>
      <c r="T44" t="s">
        <v>112</v>
      </c>
      <c r="U44" t="s">
        <v>118</v>
      </c>
      <c r="V44" t="s">
        <v>88</v>
      </c>
    </row>
    <row r="45" spans="1:22" x14ac:dyDescent="0.25">
      <c r="A45" t="s">
        <v>185</v>
      </c>
      <c r="B45" t="s">
        <v>77</v>
      </c>
      <c r="C45">
        <v>0.24</v>
      </c>
      <c r="D45" t="s">
        <v>48</v>
      </c>
      <c r="E45">
        <v>1</v>
      </c>
      <c r="F45" t="s">
        <v>92</v>
      </c>
      <c r="J45" s="2"/>
      <c r="K45" s="2"/>
      <c r="L45" s="2"/>
      <c r="M45" s="2"/>
      <c r="N45" s="2"/>
      <c r="O45" s="2"/>
      <c r="P45" s="2"/>
      <c r="Q45" s="2"/>
      <c r="R45" s="2"/>
      <c r="S45" t="s">
        <v>104</v>
      </c>
      <c r="T45" t="s">
        <v>80</v>
      </c>
      <c r="U45" t="s">
        <v>88</v>
      </c>
      <c r="V45" t="s">
        <v>102</v>
      </c>
    </row>
    <row r="46" spans="1:22" x14ac:dyDescent="0.25">
      <c r="A46" t="s">
        <v>186</v>
      </c>
      <c r="B46" t="s">
        <v>59</v>
      </c>
      <c r="C46">
        <v>0.78</v>
      </c>
      <c r="D46" t="s">
        <v>26</v>
      </c>
      <c r="E46">
        <v>1</v>
      </c>
      <c r="F46" t="s">
        <v>94</v>
      </c>
      <c r="J46" s="2"/>
      <c r="K46" s="2"/>
      <c r="L46" s="2"/>
      <c r="M46" s="2"/>
      <c r="N46" s="2"/>
      <c r="O46" s="2"/>
      <c r="P46" s="2"/>
      <c r="Q46" s="2"/>
      <c r="R46" s="2"/>
      <c r="S46" t="s">
        <v>110</v>
      </c>
      <c r="T46" t="s">
        <v>106</v>
      </c>
      <c r="U46" t="s">
        <v>116</v>
      </c>
      <c r="V46" t="s">
        <v>92</v>
      </c>
    </row>
    <row r="47" spans="1:22" x14ac:dyDescent="0.25">
      <c r="A47" t="s">
        <v>187</v>
      </c>
      <c r="B47" t="s">
        <v>75</v>
      </c>
      <c r="C47">
        <v>0.43</v>
      </c>
      <c r="D47" t="s">
        <v>24</v>
      </c>
      <c r="E47">
        <v>0.82</v>
      </c>
      <c r="F47" t="s">
        <v>88</v>
      </c>
      <c r="G47" t="s">
        <v>32</v>
      </c>
      <c r="H47">
        <v>0.18</v>
      </c>
      <c r="I47" t="s">
        <v>80</v>
      </c>
      <c r="J47" s="2"/>
      <c r="K47" s="2"/>
      <c r="L47" s="2"/>
      <c r="M47" s="2"/>
      <c r="N47" s="2"/>
      <c r="O47" s="2"/>
      <c r="P47" s="2"/>
      <c r="Q47" s="2"/>
      <c r="R47" s="2"/>
      <c r="S47" t="s">
        <v>110</v>
      </c>
      <c r="T47" t="s">
        <v>84</v>
      </c>
      <c r="U47" t="s">
        <v>86</v>
      </c>
      <c r="V47" t="s">
        <v>88</v>
      </c>
    </row>
    <row r="48" spans="1:22" x14ac:dyDescent="0.25">
      <c r="A48" t="s">
        <v>188</v>
      </c>
      <c r="B48" t="s">
        <v>69</v>
      </c>
      <c r="C48">
        <v>0.23</v>
      </c>
      <c r="D48" t="s">
        <v>46</v>
      </c>
      <c r="E48">
        <v>0.81</v>
      </c>
      <c r="F48" t="s">
        <v>80</v>
      </c>
      <c r="G48" t="s">
        <v>52</v>
      </c>
      <c r="H48">
        <v>0.19</v>
      </c>
      <c r="I48" t="s">
        <v>80</v>
      </c>
      <c r="J48" s="2"/>
      <c r="K48" s="2"/>
      <c r="L48" s="2"/>
      <c r="M48" s="2"/>
      <c r="N48" s="2"/>
      <c r="O48" s="2"/>
      <c r="P48" s="2"/>
      <c r="Q48" s="2"/>
      <c r="R48" s="2"/>
      <c r="S48" t="s">
        <v>106</v>
      </c>
      <c r="T48" t="s">
        <v>88</v>
      </c>
      <c r="U48" t="s">
        <v>90</v>
      </c>
      <c r="V48" t="s">
        <v>98</v>
      </c>
    </row>
    <row r="49" spans="1:22" x14ac:dyDescent="0.25">
      <c r="A49" t="s">
        <v>189</v>
      </c>
      <c r="B49" t="s">
        <v>57</v>
      </c>
      <c r="C49">
        <v>0.2</v>
      </c>
      <c r="D49" t="s">
        <v>52</v>
      </c>
      <c r="E49">
        <v>0.59</v>
      </c>
      <c r="F49" t="s">
        <v>94</v>
      </c>
      <c r="G49" t="s">
        <v>40</v>
      </c>
      <c r="H49">
        <v>0.41</v>
      </c>
      <c r="I49" t="s">
        <v>108</v>
      </c>
      <c r="J49" s="2"/>
      <c r="K49" s="2"/>
      <c r="L49" s="2"/>
      <c r="M49" s="2"/>
      <c r="N49" s="2"/>
      <c r="O49" s="2"/>
      <c r="P49" s="2"/>
      <c r="Q49" s="2"/>
      <c r="R49" s="2"/>
      <c r="S49" t="s">
        <v>100</v>
      </c>
      <c r="T49" t="s">
        <v>86</v>
      </c>
      <c r="U49" t="s">
        <v>114</v>
      </c>
      <c r="V49" t="s">
        <v>110</v>
      </c>
    </row>
    <row r="50" spans="1:22" x14ac:dyDescent="0.25">
      <c r="A50" t="s">
        <v>190</v>
      </c>
      <c r="B50" t="s">
        <v>65</v>
      </c>
      <c r="C50">
        <v>0.47</v>
      </c>
      <c r="D50" t="s">
        <v>46</v>
      </c>
      <c r="E50">
        <v>0.73</v>
      </c>
      <c r="F50" t="s">
        <v>114</v>
      </c>
      <c r="G50" t="s">
        <v>38</v>
      </c>
      <c r="H50">
        <v>0.27</v>
      </c>
      <c r="I50" t="s">
        <v>92</v>
      </c>
      <c r="J50" s="2"/>
      <c r="K50" s="2"/>
      <c r="L50" s="2"/>
      <c r="M50" s="2"/>
      <c r="N50" s="2"/>
      <c r="O50" s="2"/>
      <c r="P50" s="2"/>
      <c r="Q50" s="2"/>
      <c r="R50" s="2"/>
      <c r="S50" t="s">
        <v>110</v>
      </c>
      <c r="T50" t="s">
        <v>104</v>
      </c>
      <c r="U50" t="s">
        <v>116</v>
      </c>
      <c r="V50" t="s">
        <v>114</v>
      </c>
    </row>
    <row r="51" spans="1:22" x14ac:dyDescent="0.25">
      <c r="A51" t="s">
        <v>191</v>
      </c>
      <c r="B51" t="s">
        <v>75</v>
      </c>
      <c r="C51">
        <v>0.4</v>
      </c>
      <c r="D51" t="s">
        <v>28</v>
      </c>
      <c r="E51">
        <v>1</v>
      </c>
      <c r="F51" t="s">
        <v>90</v>
      </c>
      <c r="J51" s="2"/>
      <c r="K51" s="2"/>
      <c r="L51" s="2"/>
      <c r="M51" s="2"/>
      <c r="N51" s="2"/>
      <c r="O51" s="2"/>
      <c r="P51" s="2"/>
      <c r="Q51" s="2"/>
      <c r="R51" s="2"/>
      <c r="S51" t="s">
        <v>108</v>
      </c>
      <c r="T51" t="s">
        <v>116</v>
      </c>
      <c r="U51" t="s">
        <v>110</v>
      </c>
      <c r="V51" t="s">
        <v>100</v>
      </c>
    </row>
    <row r="52" spans="1:22" x14ac:dyDescent="0.25">
      <c r="A52" t="s">
        <v>192</v>
      </c>
      <c r="B52" t="s">
        <v>69</v>
      </c>
      <c r="C52">
        <v>0.15</v>
      </c>
      <c r="D52" t="s">
        <v>32</v>
      </c>
      <c r="E52">
        <v>0.59</v>
      </c>
      <c r="F52" t="s">
        <v>98</v>
      </c>
      <c r="G52" t="s">
        <v>40</v>
      </c>
      <c r="H52">
        <v>0.41</v>
      </c>
      <c r="I52" t="s">
        <v>114</v>
      </c>
      <c r="J52" s="2"/>
      <c r="K52" s="2"/>
      <c r="L52" s="2"/>
      <c r="M52" s="2"/>
      <c r="N52" s="2"/>
      <c r="O52" s="2"/>
      <c r="P52" s="2"/>
      <c r="Q52" s="2"/>
      <c r="R52" s="2"/>
      <c r="S52" t="s">
        <v>100</v>
      </c>
      <c r="T52" t="s">
        <v>94</v>
      </c>
      <c r="U52" t="s">
        <v>90</v>
      </c>
      <c r="V52" t="s">
        <v>112</v>
      </c>
    </row>
    <row r="53" spans="1:22" x14ac:dyDescent="0.25">
      <c r="A53" t="s">
        <v>193</v>
      </c>
      <c r="B53" t="s">
        <v>77</v>
      </c>
      <c r="C53">
        <v>0.33</v>
      </c>
      <c r="D53" t="s">
        <v>36</v>
      </c>
      <c r="E53">
        <v>1</v>
      </c>
      <c r="F53" t="s">
        <v>102</v>
      </c>
      <c r="J53" s="2"/>
      <c r="K53" s="2"/>
      <c r="L53" s="2"/>
      <c r="M53" s="2"/>
      <c r="N53" s="2"/>
      <c r="O53" s="2"/>
      <c r="P53" s="2"/>
      <c r="Q53" s="2"/>
      <c r="R53" s="2"/>
      <c r="S53" t="s">
        <v>86</v>
      </c>
      <c r="T53" t="s">
        <v>112</v>
      </c>
      <c r="U53" t="s">
        <v>82</v>
      </c>
      <c r="V53" t="s">
        <v>104</v>
      </c>
    </row>
    <row r="54" spans="1:22" x14ac:dyDescent="0.25">
      <c r="A54" t="s">
        <v>194</v>
      </c>
      <c r="B54" t="s">
        <v>63</v>
      </c>
      <c r="C54">
        <v>0.26</v>
      </c>
      <c r="D54" t="s">
        <v>36</v>
      </c>
      <c r="E54">
        <v>1</v>
      </c>
      <c r="F54" t="s">
        <v>86</v>
      </c>
      <c r="J54" s="2"/>
      <c r="K54" s="2"/>
      <c r="L54" s="2"/>
      <c r="M54" s="2"/>
      <c r="N54" s="2"/>
      <c r="O54" s="2"/>
      <c r="P54" s="2"/>
      <c r="Q54" s="2"/>
      <c r="R54" s="2"/>
      <c r="S54" t="s">
        <v>118</v>
      </c>
      <c r="T54" t="s">
        <v>88</v>
      </c>
      <c r="U54" t="s">
        <v>80</v>
      </c>
      <c r="V54" t="s">
        <v>100</v>
      </c>
    </row>
    <row r="55" spans="1:22" x14ac:dyDescent="0.25">
      <c r="A55" t="s">
        <v>195</v>
      </c>
      <c r="B55" t="s">
        <v>67</v>
      </c>
      <c r="C55">
        <v>0.53</v>
      </c>
      <c r="D55" t="s">
        <v>46</v>
      </c>
      <c r="E55">
        <v>1</v>
      </c>
      <c r="F55" t="s">
        <v>114</v>
      </c>
      <c r="J55" s="2"/>
      <c r="K55" s="2"/>
      <c r="L55" s="2"/>
      <c r="M55" s="2"/>
      <c r="N55" s="2"/>
      <c r="O55" s="2"/>
      <c r="P55" s="2"/>
      <c r="Q55" s="2"/>
      <c r="R55" s="2"/>
      <c r="S55" t="s">
        <v>92</v>
      </c>
      <c r="T55" t="s">
        <v>84</v>
      </c>
      <c r="U55" t="s">
        <v>118</v>
      </c>
      <c r="V55" t="s">
        <v>84</v>
      </c>
    </row>
    <row r="56" spans="1:22" x14ac:dyDescent="0.25">
      <c r="A56" t="s">
        <v>196</v>
      </c>
      <c r="B56" t="s">
        <v>75</v>
      </c>
      <c r="C56">
        <v>0.41</v>
      </c>
      <c r="D56" t="s">
        <v>54</v>
      </c>
      <c r="E56">
        <v>1</v>
      </c>
      <c r="F56" t="s">
        <v>94</v>
      </c>
      <c r="J56" s="2"/>
      <c r="K56" s="2"/>
      <c r="L56" s="2"/>
      <c r="M56" s="2"/>
      <c r="N56" s="2"/>
      <c r="O56" s="2"/>
      <c r="P56" s="2"/>
      <c r="Q56" s="2"/>
      <c r="R56" s="2"/>
      <c r="S56" t="s">
        <v>116</v>
      </c>
      <c r="T56" t="s">
        <v>116</v>
      </c>
      <c r="U56" t="s">
        <v>84</v>
      </c>
      <c r="V56" t="s">
        <v>94</v>
      </c>
    </row>
    <row r="57" spans="1:22" x14ac:dyDescent="0.25">
      <c r="A57" t="s">
        <v>197</v>
      </c>
      <c r="B57" t="s">
        <v>65</v>
      </c>
      <c r="C57">
        <v>0.49</v>
      </c>
      <c r="D57" t="s">
        <v>38</v>
      </c>
      <c r="E57">
        <v>1</v>
      </c>
      <c r="F57" t="s">
        <v>110</v>
      </c>
      <c r="J57" s="2"/>
      <c r="K57" s="2"/>
      <c r="L57" s="2"/>
      <c r="M57" s="2"/>
      <c r="N57" s="2"/>
      <c r="O57" s="2"/>
      <c r="P57" s="2"/>
      <c r="Q57" s="2"/>
      <c r="R57" s="2"/>
      <c r="S57" t="s">
        <v>104</v>
      </c>
      <c r="T57" t="s">
        <v>106</v>
      </c>
      <c r="U57" t="s">
        <v>106</v>
      </c>
      <c r="V57" t="s">
        <v>118</v>
      </c>
    </row>
    <row r="58" spans="1:22" x14ac:dyDescent="0.25">
      <c r="A58" t="s">
        <v>198</v>
      </c>
      <c r="B58" t="s">
        <v>75</v>
      </c>
      <c r="C58">
        <v>0.45</v>
      </c>
      <c r="D58" t="s">
        <v>26</v>
      </c>
      <c r="E58">
        <v>0.71</v>
      </c>
      <c r="F58" t="s">
        <v>88</v>
      </c>
      <c r="G58" t="s">
        <v>28</v>
      </c>
      <c r="H58">
        <v>0.28999999999999998</v>
      </c>
      <c r="I58" t="s">
        <v>96</v>
      </c>
      <c r="J58" s="2"/>
      <c r="K58" s="2"/>
      <c r="L58" s="2"/>
      <c r="M58" s="2"/>
      <c r="N58" s="2"/>
      <c r="O58" s="2"/>
      <c r="P58" s="2"/>
      <c r="Q58" s="2"/>
      <c r="R58" s="2"/>
      <c r="S58" t="s">
        <v>114</v>
      </c>
      <c r="T58" t="s">
        <v>106</v>
      </c>
      <c r="U58" t="s">
        <v>106</v>
      </c>
      <c r="V58" t="s">
        <v>90</v>
      </c>
    </row>
    <row r="59" spans="1:22" x14ac:dyDescent="0.25">
      <c r="A59" t="s">
        <v>199</v>
      </c>
      <c r="B59" t="s">
        <v>65</v>
      </c>
      <c r="C59">
        <v>0.15</v>
      </c>
      <c r="D59" t="s">
        <v>48</v>
      </c>
      <c r="E59">
        <v>1</v>
      </c>
      <c r="F59" t="s">
        <v>94</v>
      </c>
      <c r="J59" s="2"/>
      <c r="K59" s="2"/>
      <c r="L59" s="2"/>
      <c r="M59" s="2"/>
      <c r="N59" s="2"/>
      <c r="O59" s="2"/>
      <c r="P59" s="2"/>
      <c r="Q59" s="2"/>
      <c r="R59" s="2"/>
      <c r="S59" t="s">
        <v>102</v>
      </c>
      <c r="T59" t="s">
        <v>94</v>
      </c>
      <c r="U59" t="s">
        <v>82</v>
      </c>
      <c r="V59" t="s">
        <v>98</v>
      </c>
    </row>
    <row r="60" spans="1:22" x14ac:dyDescent="0.25">
      <c r="A60" t="s">
        <v>200</v>
      </c>
      <c r="B60" t="s">
        <v>69</v>
      </c>
      <c r="C60">
        <v>0.13</v>
      </c>
      <c r="D60" t="s">
        <v>50</v>
      </c>
      <c r="E60">
        <v>1</v>
      </c>
      <c r="F60" t="s">
        <v>116</v>
      </c>
      <c r="J60" s="2"/>
      <c r="K60" s="2"/>
      <c r="L60" s="2"/>
      <c r="M60" s="2"/>
      <c r="N60" s="2"/>
      <c r="O60" s="2"/>
      <c r="P60" s="2"/>
      <c r="Q60" s="2"/>
      <c r="R60" s="2"/>
      <c r="S60" t="s">
        <v>90</v>
      </c>
      <c r="T60" t="s">
        <v>98</v>
      </c>
      <c r="U60" t="s">
        <v>106</v>
      </c>
      <c r="V60" t="s">
        <v>108</v>
      </c>
    </row>
    <row r="61" spans="1:22" x14ac:dyDescent="0.25">
      <c r="A61" t="s">
        <v>201</v>
      </c>
      <c r="B61" t="s">
        <v>59</v>
      </c>
      <c r="C61">
        <v>0.52</v>
      </c>
      <c r="D61" t="s">
        <v>38</v>
      </c>
      <c r="E61">
        <v>0.69</v>
      </c>
      <c r="F61" t="s">
        <v>100</v>
      </c>
      <c r="G61" t="s">
        <v>40</v>
      </c>
      <c r="H61">
        <v>0.31</v>
      </c>
      <c r="I61" t="s">
        <v>116</v>
      </c>
      <c r="J61" s="2"/>
      <c r="K61" s="2"/>
      <c r="L61" s="2"/>
      <c r="M61" s="2"/>
      <c r="N61" s="2"/>
      <c r="O61" s="2"/>
      <c r="P61" s="2"/>
      <c r="Q61" s="2"/>
      <c r="R61" s="2"/>
      <c r="S61" t="s">
        <v>96</v>
      </c>
      <c r="T61" t="s">
        <v>92</v>
      </c>
      <c r="U61" t="s">
        <v>92</v>
      </c>
      <c r="V61" t="s">
        <v>114</v>
      </c>
    </row>
    <row r="62" spans="1:22" x14ac:dyDescent="0.25">
      <c r="A62" t="s">
        <v>202</v>
      </c>
      <c r="B62" t="s">
        <v>77</v>
      </c>
      <c r="C62">
        <v>0.28000000000000003</v>
      </c>
      <c r="D62" t="s">
        <v>50</v>
      </c>
      <c r="E62">
        <v>1</v>
      </c>
      <c r="F62" t="s">
        <v>82</v>
      </c>
      <c r="J62" s="2"/>
      <c r="K62" s="2"/>
      <c r="L62" s="2"/>
      <c r="M62" s="2"/>
      <c r="N62" s="2"/>
      <c r="O62" s="2"/>
      <c r="P62" s="2"/>
      <c r="Q62" s="2"/>
      <c r="R62" s="2"/>
      <c r="S62" t="s">
        <v>110</v>
      </c>
      <c r="T62" t="s">
        <v>106</v>
      </c>
      <c r="U62" t="s">
        <v>80</v>
      </c>
      <c r="V62" t="s">
        <v>106</v>
      </c>
    </row>
    <row r="63" spans="1:22" x14ac:dyDescent="0.25">
      <c r="A63" t="s">
        <v>203</v>
      </c>
      <c r="B63" t="s">
        <v>77</v>
      </c>
      <c r="C63">
        <v>0.31</v>
      </c>
      <c r="D63" t="s">
        <v>46</v>
      </c>
      <c r="E63">
        <v>0.5</v>
      </c>
      <c r="F63" t="s">
        <v>114</v>
      </c>
      <c r="G63" t="s">
        <v>28</v>
      </c>
      <c r="H63">
        <v>0.5</v>
      </c>
      <c r="I63" t="s">
        <v>88</v>
      </c>
      <c r="J63" s="2"/>
      <c r="K63" s="2"/>
      <c r="L63" s="2"/>
      <c r="M63" s="2"/>
      <c r="N63" s="2"/>
      <c r="O63" s="2"/>
      <c r="P63" s="2"/>
      <c r="Q63" s="2"/>
      <c r="R63" s="2"/>
      <c r="S63" t="s">
        <v>90</v>
      </c>
      <c r="T63" t="s">
        <v>94</v>
      </c>
      <c r="U63" t="s">
        <v>86</v>
      </c>
      <c r="V63" t="s">
        <v>88</v>
      </c>
    </row>
    <row r="64" spans="1:22" x14ac:dyDescent="0.25">
      <c r="A64" t="s">
        <v>204</v>
      </c>
      <c r="B64" t="s">
        <v>63</v>
      </c>
      <c r="C64">
        <v>0.22</v>
      </c>
      <c r="D64" t="s">
        <v>50</v>
      </c>
      <c r="E64">
        <v>0.62</v>
      </c>
      <c r="F64" t="s">
        <v>80</v>
      </c>
      <c r="G64" t="s">
        <v>52</v>
      </c>
      <c r="H64">
        <v>0.38</v>
      </c>
      <c r="I64" t="s">
        <v>108</v>
      </c>
      <c r="J64" s="2"/>
      <c r="K64" s="2"/>
      <c r="L64" s="2"/>
      <c r="M64" s="2"/>
      <c r="N64" s="2"/>
      <c r="O64" s="2"/>
      <c r="P64" s="2"/>
      <c r="Q64" s="2"/>
      <c r="R64" s="2"/>
      <c r="S64" t="s">
        <v>104</v>
      </c>
      <c r="T64" t="s">
        <v>84</v>
      </c>
      <c r="U64" t="s">
        <v>104</v>
      </c>
      <c r="V64" t="s">
        <v>98</v>
      </c>
    </row>
    <row r="65" spans="1:22" x14ac:dyDescent="0.25">
      <c r="A65" t="s">
        <v>205</v>
      </c>
      <c r="B65" t="s">
        <v>71</v>
      </c>
      <c r="C65">
        <v>0.05</v>
      </c>
      <c r="D65" t="s">
        <v>44</v>
      </c>
      <c r="E65">
        <v>0.79</v>
      </c>
      <c r="F65" t="s">
        <v>118</v>
      </c>
      <c r="G65" t="s">
        <v>32</v>
      </c>
      <c r="H65">
        <v>0.21</v>
      </c>
      <c r="I65" t="s">
        <v>80</v>
      </c>
      <c r="J65" s="2"/>
      <c r="K65" s="2"/>
      <c r="L65" s="2"/>
      <c r="M65" s="2"/>
      <c r="N65" s="2"/>
      <c r="O65" s="2"/>
      <c r="P65" s="2"/>
      <c r="Q65" s="2"/>
      <c r="R65" s="2"/>
      <c r="S65" t="s">
        <v>104</v>
      </c>
      <c r="T65" t="s">
        <v>94</v>
      </c>
      <c r="U65" t="s">
        <v>116</v>
      </c>
      <c r="V65" t="s">
        <v>86</v>
      </c>
    </row>
    <row r="66" spans="1:22" x14ac:dyDescent="0.25">
      <c r="A66" t="s">
        <v>206</v>
      </c>
      <c r="B66" t="s">
        <v>71</v>
      </c>
      <c r="C66">
        <v>0.08</v>
      </c>
      <c r="D66" t="s">
        <v>28</v>
      </c>
      <c r="E66">
        <v>1</v>
      </c>
      <c r="F66" t="s">
        <v>118</v>
      </c>
      <c r="J66" s="2"/>
      <c r="K66" s="2"/>
      <c r="L66" s="2"/>
      <c r="M66" s="2"/>
      <c r="N66" s="2"/>
      <c r="O66" s="2"/>
      <c r="P66" s="2"/>
      <c r="Q66" s="2"/>
      <c r="R66" s="2"/>
      <c r="S66" t="s">
        <v>100</v>
      </c>
      <c r="T66" t="s">
        <v>84</v>
      </c>
      <c r="U66" t="s">
        <v>80</v>
      </c>
      <c r="V66" t="s">
        <v>114</v>
      </c>
    </row>
    <row r="67" spans="1:22" x14ac:dyDescent="0.25">
      <c r="A67" t="s">
        <v>207</v>
      </c>
      <c r="B67" t="s">
        <v>63</v>
      </c>
      <c r="C67">
        <v>0.27</v>
      </c>
      <c r="D67" t="s">
        <v>42</v>
      </c>
      <c r="E67">
        <v>1</v>
      </c>
      <c r="F67" t="s">
        <v>106</v>
      </c>
      <c r="J67" s="2"/>
      <c r="K67" s="2"/>
      <c r="L67" s="2"/>
      <c r="M67" s="2"/>
      <c r="N67" s="2"/>
      <c r="O67" s="2"/>
      <c r="P67" s="2"/>
      <c r="Q67" s="2"/>
      <c r="R67" s="2"/>
      <c r="S67" t="s">
        <v>92</v>
      </c>
      <c r="T67" t="s">
        <v>90</v>
      </c>
      <c r="U67" t="s">
        <v>112</v>
      </c>
      <c r="V67" t="s">
        <v>110</v>
      </c>
    </row>
    <row r="68" spans="1:22" x14ac:dyDescent="0.25">
      <c r="A68" t="s">
        <v>208</v>
      </c>
      <c r="B68" t="s">
        <v>63</v>
      </c>
      <c r="C68">
        <v>0.18</v>
      </c>
      <c r="D68" t="s">
        <v>28</v>
      </c>
      <c r="E68">
        <v>0.88</v>
      </c>
      <c r="F68" t="s">
        <v>84</v>
      </c>
      <c r="G68" t="s">
        <v>38</v>
      </c>
      <c r="H68">
        <v>0.12</v>
      </c>
      <c r="I68" t="s">
        <v>82</v>
      </c>
      <c r="J68" s="2"/>
      <c r="K68" s="2"/>
      <c r="L68" s="2"/>
      <c r="M68" s="2"/>
      <c r="N68" s="2"/>
      <c r="O68" s="2"/>
      <c r="P68" s="2"/>
      <c r="Q68" s="2"/>
      <c r="R68" s="2"/>
      <c r="S68" t="s">
        <v>108</v>
      </c>
      <c r="T68" t="s">
        <v>110</v>
      </c>
      <c r="U68" t="s">
        <v>110</v>
      </c>
      <c r="V68" t="s">
        <v>112</v>
      </c>
    </row>
    <row r="69" spans="1:22" x14ac:dyDescent="0.25">
      <c r="A69" t="s">
        <v>209</v>
      </c>
      <c r="B69" t="s">
        <v>73</v>
      </c>
      <c r="C69">
        <v>0.28999999999999998</v>
      </c>
      <c r="D69" t="s">
        <v>44</v>
      </c>
      <c r="E69">
        <v>1</v>
      </c>
      <c r="F69" t="s">
        <v>102</v>
      </c>
      <c r="J69" s="2"/>
      <c r="K69" s="2"/>
      <c r="L69" s="2"/>
      <c r="M69" s="2"/>
      <c r="N69" s="2"/>
      <c r="O69" s="2"/>
      <c r="P69" s="2"/>
      <c r="Q69" s="2"/>
      <c r="R69" s="2"/>
      <c r="S69" t="s">
        <v>92</v>
      </c>
      <c r="T69" t="s">
        <v>98</v>
      </c>
      <c r="U69" t="s">
        <v>98</v>
      </c>
      <c r="V69" t="s">
        <v>118</v>
      </c>
    </row>
    <row r="70" spans="1:22" x14ac:dyDescent="0.25">
      <c r="A70" t="s">
        <v>210</v>
      </c>
      <c r="B70" t="s">
        <v>71</v>
      </c>
      <c r="C70">
        <v>7.0000000000000007E-2</v>
      </c>
      <c r="D70" t="s">
        <v>36</v>
      </c>
      <c r="E70">
        <v>0.85</v>
      </c>
      <c r="F70" t="s">
        <v>96</v>
      </c>
      <c r="G70" t="s">
        <v>30</v>
      </c>
      <c r="H70">
        <v>0.15</v>
      </c>
      <c r="I70" t="s">
        <v>82</v>
      </c>
      <c r="J70" s="2"/>
      <c r="K70" s="2"/>
      <c r="L70" s="2"/>
      <c r="M70" s="2"/>
      <c r="N70" s="2"/>
      <c r="O70" s="2"/>
      <c r="P70" s="2"/>
      <c r="Q70" s="2"/>
      <c r="R70" s="2"/>
      <c r="S70" t="s">
        <v>98</v>
      </c>
      <c r="T70" t="s">
        <v>82</v>
      </c>
      <c r="U70" t="s">
        <v>104</v>
      </c>
      <c r="V70" t="s">
        <v>80</v>
      </c>
    </row>
    <row r="71" spans="1:22" x14ac:dyDescent="0.25">
      <c r="A71" t="s">
        <v>211</v>
      </c>
      <c r="B71" t="s">
        <v>71</v>
      </c>
      <c r="C71">
        <v>0.11</v>
      </c>
      <c r="D71" t="s">
        <v>36</v>
      </c>
      <c r="E71">
        <v>1</v>
      </c>
      <c r="F71" t="s">
        <v>86</v>
      </c>
      <c r="J71" s="2"/>
      <c r="K71" s="2"/>
      <c r="L71" s="2"/>
      <c r="M71" s="2"/>
      <c r="N71" s="2"/>
      <c r="O71" s="2"/>
      <c r="P71" s="2"/>
      <c r="Q71" s="2"/>
      <c r="R71" s="2"/>
      <c r="S71" t="s">
        <v>116</v>
      </c>
      <c r="T71" t="s">
        <v>106</v>
      </c>
      <c r="U71" t="s">
        <v>92</v>
      </c>
      <c r="V71" t="s">
        <v>82</v>
      </c>
    </row>
    <row r="72" spans="1:22" x14ac:dyDescent="0.25">
      <c r="A72" t="s">
        <v>212</v>
      </c>
      <c r="B72" t="s">
        <v>57</v>
      </c>
      <c r="C72">
        <v>0.22</v>
      </c>
      <c r="D72" t="s">
        <v>26</v>
      </c>
      <c r="E72">
        <v>0.51</v>
      </c>
      <c r="F72" t="s">
        <v>108</v>
      </c>
      <c r="G72" t="s">
        <v>44</v>
      </c>
      <c r="H72">
        <v>0.49</v>
      </c>
      <c r="I72" t="s">
        <v>92</v>
      </c>
      <c r="J72" s="2"/>
      <c r="K72" s="2"/>
      <c r="L72" s="2"/>
      <c r="M72" s="2"/>
      <c r="N72" s="2"/>
      <c r="O72" s="2"/>
      <c r="P72" s="2"/>
      <c r="Q72" s="2"/>
      <c r="R72" s="2"/>
      <c r="S72" t="s">
        <v>118</v>
      </c>
      <c r="T72" t="s">
        <v>118</v>
      </c>
      <c r="U72" t="s">
        <v>92</v>
      </c>
      <c r="V72" t="s">
        <v>114</v>
      </c>
    </row>
    <row r="73" spans="1:22" x14ac:dyDescent="0.25">
      <c r="A73" t="s">
        <v>213</v>
      </c>
      <c r="B73" t="s">
        <v>77</v>
      </c>
      <c r="C73">
        <v>0.38</v>
      </c>
      <c r="D73" t="s">
        <v>34</v>
      </c>
      <c r="E73">
        <v>1</v>
      </c>
      <c r="F73" t="s">
        <v>94</v>
      </c>
      <c r="J73" s="2"/>
      <c r="K73" s="2"/>
      <c r="L73" s="2"/>
      <c r="M73" s="2"/>
      <c r="N73" s="2"/>
      <c r="O73" s="2"/>
      <c r="P73" s="2"/>
      <c r="Q73" s="2"/>
      <c r="R73" s="2"/>
      <c r="S73" t="s">
        <v>84</v>
      </c>
      <c r="T73" t="s">
        <v>86</v>
      </c>
      <c r="U73" t="s">
        <v>112</v>
      </c>
      <c r="V73" t="s">
        <v>118</v>
      </c>
    </row>
    <row r="74" spans="1:22" x14ac:dyDescent="0.25">
      <c r="A74" t="s">
        <v>214</v>
      </c>
      <c r="B74" t="s">
        <v>63</v>
      </c>
      <c r="C74">
        <v>0.28000000000000003</v>
      </c>
      <c r="D74" t="s">
        <v>38</v>
      </c>
      <c r="E74">
        <v>1</v>
      </c>
      <c r="F74" t="s">
        <v>86</v>
      </c>
      <c r="J74" s="2"/>
      <c r="K74" s="2"/>
      <c r="L74" s="2"/>
      <c r="M74" s="2"/>
      <c r="N74" s="2"/>
      <c r="O74" s="2"/>
      <c r="P74" s="2"/>
      <c r="Q74" s="2"/>
      <c r="R74" s="2"/>
      <c r="S74" t="s">
        <v>84</v>
      </c>
      <c r="T74" t="s">
        <v>86</v>
      </c>
      <c r="U74" t="s">
        <v>84</v>
      </c>
      <c r="V74" t="s">
        <v>86</v>
      </c>
    </row>
    <row r="75" spans="1:22" x14ac:dyDescent="0.25">
      <c r="A75" t="s">
        <v>215</v>
      </c>
      <c r="B75" t="s">
        <v>67</v>
      </c>
      <c r="C75">
        <v>0.69</v>
      </c>
      <c r="D75" t="s">
        <v>38</v>
      </c>
      <c r="E75">
        <v>0.89</v>
      </c>
      <c r="F75" t="s">
        <v>96</v>
      </c>
      <c r="G75" t="s">
        <v>30</v>
      </c>
      <c r="H75">
        <v>0.11</v>
      </c>
      <c r="I75" t="s">
        <v>110</v>
      </c>
      <c r="J75" s="2"/>
      <c r="K75" s="2"/>
      <c r="L75" s="2"/>
      <c r="M75" s="2"/>
      <c r="N75" s="2"/>
      <c r="O75" s="2"/>
      <c r="P75" s="2"/>
      <c r="Q75" s="2"/>
      <c r="R75" s="2"/>
      <c r="S75" t="s">
        <v>108</v>
      </c>
      <c r="T75" t="s">
        <v>112</v>
      </c>
      <c r="U75" t="s">
        <v>98</v>
      </c>
      <c r="V75" t="s">
        <v>110</v>
      </c>
    </row>
    <row r="76" spans="1:22" x14ac:dyDescent="0.25">
      <c r="A76" t="s">
        <v>216</v>
      </c>
      <c r="B76" t="s">
        <v>75</v>
      </c>
      <c r="C76">
        <v>0.19</v>
      </c>
      <c r="D76" t="s">
        <v>50</v>
      </c>
      <c r="E76">
        <v>0.67</v>
      </c>
      <c r="F76" t="s">
        <v>96</v>
      </c>
      <c r="G76" t="s">
        <v>26</v>
      </c>
      <c r="H76">
        <v>0.33</v>
      </c>
      <c r="I76" t="s">
        <v>94</v>
      </c>
      <c r="J76" s="2"/>
      <c r="K76" s="2"/>
      <c r="L76" s="2"/>
      <c r="M76" s="2"/>
      <c r="N76" s="2"/>
      <c r="O76" s="2"/>
      <c r="P76" s="2"/>
      <c r="Q76" s="2"/>
      <c r="R76" s="2"/>
      <c r="S76" t="s">
        <v>102</v>
      </c>
      <c r="T76" t="s">
        <v>102</v>
      </c>
      <c r="U76" t="s">
        <v>104</v>
      </c>
      <c r="V76" t="s">
        <v>84</v>
      </c>
    </row>
    <row r="77" spans="1:22" x14ac:dyDescent="0.25">
      <c r="A77" t="s">
        <v>217</v>
      </c>
      <c r="B77" t="s">
        <v>63</v>
      </c>
      <c r="C77">
        <v>0.31</v>
      </c>
      <c r="D77" t="s">
        <v>44</v>
      </c>
      <c r="E77">
        <v>1</v>
      </c>
      <c r="F77" t="s">
        <v>100</v>
      </c>
      <c r="J77" s="2"/>
      <c r="K77" s="2"/>
      <c r="L77" s="2"/>
      <c r="M77" s="2"/>
      <c r="N77" s="2"/>
      <c r="O77" s="2"/>
      <c r="P77" s="2"/>
      <c r="Q77" s="2"/>
      <c r="R77" s="2"/>
      <c r="S77" t="s">
        <v>94</v>
      </c>
      <c r="T77" t="s">
        <v>90</v>
      </c>
      <c r="U77" t="s">
        <v>94</v>
      </c>
      <c r="V77" t="s">
        <v>84</v>
      </c>
    </row>
    <row r="78" spans="1:22" x14ac:dyDescent="0.25">
      <c r="A78" t="s">
        <v>218</v>
      </c>
      <c r="B78" t="s">
        <v>59</v>
      </c>
      <c r="C78">
        <v>0.57999999999999996</v>
      </c>
      <c r="D78" t="s">
        <v>40</v>
      </c>
      <c r="E78">
        <v>0.83</v>
      </c>
      <c r="F78" t="s">
        <v>118</v>
      </c>
      <c r="G78" t="s">
        <v>32</v>
      </c>
      <c r="H78">
        <v>0.17</v>
      </c>
      <c r="I78" t="s">
        <v>102</v>
      </c>
      <c r="J78" s="2"/>
      <c r="K78" s="2"/>
      <c r="L78" s="2"/>
      <c r="M78" s="2"/>
      <c r="N78" s="2"/>
      <c r="O78" s="2"/>
      <c r="P78" s="2"/>
      <c r="Q78" s="2"/>
      <c r="R78" s="2"/>
      <c r="S78" t="s">
        <v>84</v>
      </c>
      <c r="T78" t="s">
        <v>104</v>
      </c>
      <c r="U78" t="s">
        <v>110</v>
      </c>
      <c r="V78" t="s">
        <v>102</v>
      </c>
    </row>
    <row r="79" spans="1:22" x14ac:dyDescent="0.25">
      <c r="A79" t="s">
        <v>219</v>
      </c>
      <c r="B79" t="s">
        <v>63</v>
      </c>
      <c r="C79">
        <v>0.23</v>
      </c>
      <c r="D79" t="s">
        <v>24</v>
      </c>
      <c r="E79">
        <v>1</v>
      </c>
      <c r="F79" t="s">
        <v>84</v>
      </c>
      <c r="J79" s="2"/>
      <c r="K79" s="2"/>
      <c r="L79" s="2"/>
      <c r="M79" s="2"/>
      <c r="N79" s="2"/>
      <c r="O79" s="2"/>
      <c r="P79" s="2"/>
      <c r="Q79" s="2"/>
      <c r="R79" s="2"/>
      <c r="S79" t="s">
        <v>104</v>
      </c>
      <c r="T79" t="s">
        <v>86</v>
      </c>
      <c r="U79" t="s">
        <v>102</v>
      </c>
      <c r="V79" t="s">
        <v>100</v>
      </c>
    </row>
    <row r="80" spans="1:22" x14ac:dyDescent="0.25">
      <c r="A80" t="s">
        <v>220</v>
      </c>
      <c r="B80" t="s">
        <v>63</v>
      </c>
      <c r="C80">
        <v>0.17</v>
      </c>
      <c r="D80" t="s">
        <v>36</v>
      </c>
      <c r="E80">
        <v>0.8</v>
      </c>
      <c r="F80" t="s">
        <v>100</v>
      </c>
      <c r="G80" t="s">
        <v>28</v>
      </c>
      <c r="H80">
        <v>0.2</v>
      </c>
      <c r="I80" t="s">
        <v>82</v>
      </c>
      <c r="J80" s="2"/>
      <c r="K80" s="2"/>
      <c r="L80" s="2"/>
      <c r="M80" s="2"/>
      <c r="N80" s="2"/>
      <c r="O80" s="2"/>
      <c r="P80" s="2"/>
      <c r="Q80" s="2"/>
      <c r="R80" s="2"/>
      <c r="S80" t="s">
        <v>100</v>
      </c>
      <c r="T80" t="s">
        <v>118</v>
      </c>
      <c r="U80" t="s">
        <v>110</v>
      </c>
      <c r="V80" t="s">
        <v>100</v>
      </c>
    </row>
    <row r="81" spans="1:22" x14ac:dyDescent="0.25">
      <c r="A81" t="s">
        <v>221</v>
      </c>
      <c r="B81" t="s">
        <v>65</v>
      </c>
      <c r="C81">
        <v>0.47</v>
      </c>
      <c r="D81" t="s">
        <v>30</v>
      </c>
      <c r="E81">
        <v>1</v>
      </c>
      <c r="F81" t="s">
        <v>104</v>
      </c>
      <c r="J81" s="2"/>
      <c r="K81" s="2"/>
      <c r="L81" s="2"/>
      <c r="M81" s="2"/>
      <c r="N81" s="2"/>
      <c r="O81" s="2"/>
      <c r="P81" s="2"/>
      <c r="Q81" s="2"/>
      <c r="R81" s="2"/>
      <c r="S81" t="s">
        <v>102</v>
      </c>
      <c r="T81" t="s">
        <v>106</v>
      </c>
      <c r="U81" t="s">
        <v>94</v>
      </c>
      <c r="V81" t="s">
        <v>100</v>
      </c>
    </row>
    <row r="82" spans="1:22" x14ac:dyDescent="0.25">
      <c r="A82" t="s">
        <v>222</v>
      </c>
      <c r="B82" t="s">
        <v>77</v>
      </c>
      <c r="C82">
        <v>0.43</v>
      </c>
      <c r="D82" t="s">
        <v>50</v>
      </c>
      <c r="E82">
        <v>1</v>
      </c>
      <c r="F82" t="s">
        <v>88</v>
      </c>
      <c r="J82" s="2"/>
      <c r="K82" s="2"/>
      <c r="L82" s="2"/>
      <c r="M82" s="2"/>
      <c r="N82" s="2"/>
      <c r="O82" s="2"/>
      <c r="P82" s="2"/>
      <c r="Q82" s="2"/>
      <c r="R82" s="2"/>
      <c r="S82" t="s">
        <v>118</v>
      </c>
      <c r="T82" t="s">
        <v>92</v>
      </c>
      <c r="U82" t="s">
        <v>102</v>
      </c>
      <c r="V82" t="s">
        <v>108</v>
      </c>
    </row>
    <row r="83" spans="1:22" x14ac:dyDescent="0.25">
      <c r="A83" t="s">
        <v>223</v>
      </c>
      <c r="B83" t="s">
        <v>65</v>
      </c>
      <c r="C83">
        <v>0.44</v>
      </c>
      <c r="D83" t="s">
        <v>36</v>
      </c>
      <c r="E83">
        <v>0.73</v>
      </c>
      <c r="F83" t="s">
        <v>102</v>
      </c>
      <c r="G83" t="s">
        <v>30</v>
      </c>
      <c r="H83">
        <v>0.27</v>
      </c>
      <c r="I83" t="s">
        <v>100</v>
      </c>
      <c r="J83" s="2"/>
      <c r="K83" s="2"/>
      <c r="L83" s="2"/>
      <c r="M83" s="2"/>
      <c r="N83" s="2"/>
      <c r="O83" s="2"/>
      <c r="P83" s="2"/>
      <c r="Q83" s="2"/>
      <c r="R83" s="2"/>
      <c r="S83" t="s">
        <v>106</v>
      </c>
      <c r="T83" t="s">
        <v>106</v>
      </c>
      <c r="U83" t="s">
        <v>106</v>
      </c>
      <c r="V83" t="s">
        <v>80</v>
      </c>
    </row>
    <row r="84" spans="1:22" x14ac:dyDescent="0.25">
      <c r="A84" t="s">
        <v>224</v>
      </c>
      <c r="B84" t="s">
        <v>77</v>
      </c>
      <c r="C84">
        <v>0.26</v>
      </c>
      <c r="D84" t="s">
        <v>46</v>
      </c>
      <c r="E84">
        <v>0.8</v>
      </c>
      <c r="F84" t="s">
        <v>80</v>
      </c>
      <c r="G84" t="s">
        <v>50</v>
      </c>
      <c r="H84">
        <v>0.2</v>
      </c>
      <c r="I84" t="s">
        <v>86</v>
      </c>
      <c r="J84" s="2"/>
      <c r="K84" s="2"/>
      <c r="L84" s="2"/>
      <c r="M84" s="2"/>
      <c r="N84" s="2"/>
      <c r="O84" s="2"/>
      <c r="P84" s="2"/>
      <c r="Q84" s="2"/>
      <c r="R84" s="2"/>
      <c r="S84" t="s">
        <v>88</v>
      </c>
      <c r="T84" t="s">
        <v>116</v>
      </c>
      <c r="U84" t="s">
        <v>84</v>
      </c>
      <c r="V84" t="s">
        <v>86</v>
      </c>
    </row>
    <row r="85" spans="1:22" x14ac:dyDescent="0.25">
      <c r="A85" t="s">
        <v>225</v>
      </c>
      <c r="B85" t="s">
        <v>75</v>
      </c>
      <c r="C85">
        <v>0.35</v>
      </c>
      <c r="D85" t="s">
        <v>48</v>
      </c>
      <c r="E85">
        <v>1</v>
      </c>
      <c r="F85" t="s">
        <v>100</v>
      </c>
      <c r="J85" s="2"/>
      <c r="K85" s="2"/>
      <c r="L85" s="2"/>
      <c r="M85" s="2"/>
      <c r="N85" s="2"/>
      <c r="O85" s="2"/>
      <c r="P85" s="2"/>
      <c r="Q85" s="2"/>
      <c r="R85" s="2"/>
      <c r="S85" t="s">
        <v>114</v>
      </c>
      <c r="T85" t="s">
        <v>80</v>
      </c>
      <c r="U85" t="s">
        <v>100</v>
      </c>
      <c r="V85" t="s">
        <v>108</v>
      </c>
    </row>
    <row r="86" spans="1:22" x14ac:dyDescent="0.25">
      <c r="A86" t="s">
        <v>226</v>
      </c>
      <c r="B86" t="s">
        <v>71</v>
      </c>
      <c r="C86">
        <v>0.09</v>
      </c>
      <c r="D86" t="s">
        <v>34</v>
      </c>
      <c r="E86">
        <v>1</v>
      </c>
      <c r="F86" t="s">
        <v>112</v>
      </c>
      <c r="J86" s="2"/>
      <c r="K86" s="2"/>
      <c r="L86" s="2"/>
      <c r="M86" s="2"/>
      <c r="N86" s="2"/>
      <c r="O86" s="2"/>
      <c r="P86" s="2"/>
      <c r="Q86" s="2"/>
      <c r="R86" s="2"/>
      <c r="S86" t="s">
        <v>100</v>
      </c>
      <c r="T86" t="s">
        <v>86</v>
      </c>
      <c r="U86" t="s">
        <v>90</v>
      </c>
      <c r="V86" t="s">
        <v>94</v>
      </c>
    </row>
    <row r="87" spans="1:22" x14ac:dyDescent="0.25">
      <c r="A87" t="s">
        <v>227</v>
      </c>
      <c r="B87" t="s">
        <v>63</v>
      </c>
      <c r="C87">
        <v>0.32</v>
      </c>
      <c r="D87" t="s">
        <v>24</v>
      </c>
      <c r="E87">
        <v>1</v>
      </c>
      <c r="F87" t="s">
        <v>96</v>
      </c>
      <c r="J87" s="2"/>
      <c r="K87" s="2"/>
      <c r="L87" s="2"/>
      <c r="M87" s="2"/>
      <c r="N87" s="2"/>
      <c r="O87" s="2"/>
      <c r="P87" s="2"/>
      <c r="Q87" s="2"/>
      <c r="R87" s="2"/>
      <c r="S87" t="s">
        <v>92</v>
      </c>
      <c r="T87" t="s">
        <v>96</v>
      </c>
      <c r="U87" t="s">
        <v>80</v>
      </c>
      <c r="V87" t="s">
        <v>104</v>
      </c>
    </row>
    <row r="88" spans="1:22" x14ac:dyDescent="0.25">
      <c r="A88" t="s">
        <v>228</v>
      </c>
      <c r="B88" t="s">
        <v>77</v>
      </c>
      <c r="C88">
        <v>0.28000000000000003</v>
      </c>
      <c r="D88" t="s">
        <v>46</v>
      </c>
      <c r="E88">
        <v>0.87</v>
      </c>
      <c r="F88" t="s">
        <v>82</v>
      </c>
      <c r="G88" t="s">
        <v>44</v>
      </c>
      <c r="H88">
        <v>0.13</v>
      </c>
      <c r="I88" t="s">
        <v>104</v>
      </c>
      <c r="J88" s="2"/>
      <c r="K88" s="2"/>
      <c r="L88" s="2"/>
      <c r="M88" s="2"/>
      <c r="N88" s="2"/>
      <c r="O88" s="2"/>
      <c r="P88" s="2"/>
      <c r="Q88" s="2"/>
      <c r="R88" s="2"/>
      <c r="S88" t="s">
        <v>102</v>
      </c>
      <c r="T88" t="s">
        <v>104</v>
      </c>
      <c r="U88" t="s">
        <v>86</v>
      </c>
      <c r="V88" t="s">
        <v>80</v>
      </c>
    </row>
    <row r="89" spans="1:22" x14ac:dyDescent="0.25">
      <c r="A89" t="s">
        <v>229</v>
      </c>
      <c r="B89" t="s">
        <v>67</v>
      </c>
      <c r="C89">
        <v>0.45</v>
      </c>
      <c r="D89" t="s">
        <v>52</v>
      </c>
      <c r="E89">
        <v>1</v>
      </c>
      <c r="F89" t="s">
        <v>92</v>
      </c>
      <c r="J89" s="2"/>
      <c r="K89" s="2"/>
      <c r="L89" s="2"/>
      <c r="M89" s="2"/>
      <c r="N89" s="2"/>
      <c r="O89" s="2"/>
      <c r="P89" s="2"/>
      <c r="Q89" s="2"/>
      <c r="R89" s="2"/>
      <c r="S89" t="s">
        <v>88</v>
      </c>
      <c r="T89" t="s">
        <v>86</v>
      </c>
      <c r="U89" t="s">
        <v>114</v>
      </c>
      <c r="V89" t="s">
        <v>100</v>
      </c>
    </row>
    <row r="90" spans="1:22" x14ac:dyDescent="0.25">
      <c r="A90" t="s">
        <v>230</v>
      </c>
      <c r="B90" t="s">
        <v>63</v>
      </c>
      <c r="C90">
        <v>0.32</v>
      </c>
      <c r="D90" t="s">
        <v>32</v>
      </c>
      <c r="E90">
        <v>1</v>
      </c>
      <c r="F90" t="s">
        <v>116</v>
      </c>
      <c r="J90" s="2"/>
      <c r="K90" s="2"/>
      <c r="L90" s="2"/>
      <c r="M90" s="2"/>
      <c r="N90" s="2"/>
      <c r="O90" s="2"/>
      <c r="P90" s="2"/>
      <c r="Q90" s="2"/>
      <c r="R90" s="2"/>
      <c r="S90" t="s">
        <v>96</v>
      </c>
      <c r="T90" t="s">
        <v>118</v>
      </c>
      <c r="U90" t="s">
        <v>110</v>
      </c>
      <c r="V90" t="s">
        <v>110</v>
      </c>
    </row>
    <row r="91" spans="1:22" x14ac:dyDescent="0.25">
      <c r="A91" t="s">
        <v>231</v>
      </c>
      <c r="B91" t="s">
        <v>65</v>
      </c>
      <c r="C91">
        <v>0.42</v>
      </c>
      <c r="D91" t="s">
        <v>40</v>
      </c>
      <c r="E91">
        <v>0.86</v>
      </c>
      <c r="F91" t="s">
        <v>100</v>
      </c>
      <c r="G91" t="s">
        <v>54</v>
      </c>
      <c r="H91">
        <v>0.14000000000000001</v>
      </c>
      <c r="I91" t="s">
        <v>96</v>
      </c>
      <c r="J91" s="2"/>
      <c r="K91" s="2"/>
      <c r="L91" s="2"/>
      <c r="M91" s="2"/>
      <c r="N91" s="2"/>
      <c r="O91" s="2"/>
      <c r="P91" s="2"/>
      <c r="Q91" s="2"/>
      <c r="R91" s="2"/>
      <c r="S91" t="s">
        <v>118</v>
      </c>
      <c r="T91" t="s">
        <v>92</v>
      </c>
      <c r="U91" t="s">
        <v>108</v>
      </c>
      <c r="V91" t="s">
        <v>112</v>
      </c>
    </row>
    <row r="92" spans="1:22" x14ac:dyDescent="0.25">
      <c r="A92" t="s">
        <v>232</v>
      </c>
      <c r="B92" t="s">
        <v>67</v>
      </c>
      <c r="C92">
        <v>0.33</v>
      </c>
      <c r="D92" t="s">
        <v>54</v>
      </c>
      <c r="E92">
        <v>1</v>
      </c>
      <c r="F92" t="s">
        <v>106</v>
      </c>
      <c r="J92" s="2"/>
      <c r="K92" s="2"/>
      <c r="L92" s="2"/>
      <c r="M92" s="2"/>
      <c r="N92" s="2"/>
      <c r="O92" s="2"/>
      <c r="P92" s="2"/>
      <c r="Q92" s="2"/>
      <c r="R92" s="2"/>
      <c r="S92" t="s">
        <v>80</v>
      </c>
      <c r="T92" t="s">
        <v>80</v>
      </c>
      <c r="U92" t="s">
        <v>98</v>
      </c>
      <c r="V92" t="s">
        <v>86</v>
      </c>
    </row>
    <row r="93" spans="1:22" x14ac:dyDescent="0.25">
      <c r="A93" t="s">
        <v>233</v>
      </c>
      <c r="B93" t="s">
        <v>77</v>
      </c>
      <c r="C93">
        <v>0.45</v>
      </c>
      <c r="D93" t="s">
        <v>42</v>
      </c>
      <c r="E93">
        <v>0.77</v>
      </c>
      <c r="F93" t="s">
        <v>96</v>
      </c>
      <c r="G93" t="s">
        <v>26</v>
      </c>
      <c r="H93">
        <v>0.23</v>
      </c>
      <c r="I93" t="s">
        <v>90</v>
      </c>
      <c r="J93" s="2"/>
      <c r="K93" s="2"/>
      <c r="L93" s="2"/>
      <c r="M93" s="2"/>
      <c r="N93" s="2"/>
      <c r="O93" s="2"/>
      <c r="P93" s="2"/>
      <c r="Q93" s="2"/>
      <c r="R93" s="2"/>
      <c r="S93" t="s">
        <v>90</v>
      </c>
      <c r="T93" t="s">
        <v>102</v>
      </c>
      <c r="U93" t="s">
        <v>106</v>
      </c>
      <c r="V93" t="s">
        <v>88</v>
      </c>
    </row>
    <row r="94" spans="1:22" x14ac:dyDescent="0.25">
      <c r="A94" t="s">
        <v>234</v>
      </c>
      <c r="B94" t="s">
        <v>69</v>
      </c>
      <c r="C94">
        <v>0.19</v>
      </c>
      <c r="D94" t="s">
        <v>28</v>
      </c>
      <c r="E94">
        <v>0.63</v>
      </c>
      <c r="F94" t="s">
        <v>108</v>
      </c>
      <c r="G94" t="s">
        <v>44</v>
      </c>
      <c r="H94">
        <v>0.37</v>
      </c>
      <c r="I94" t="s">
        <v>96</v>
      </c>
      <c r="J94" s="2"/>
      <c r="K94" s="2"/>
      <c r="L94" s="2"/>
      <c r="M94" s="2"/>
      <c r="N94" s="2"/>
      <c r="O94" s="2"/>
      <c r="P94" s="2"/>
      <c r="Q94" s="2"/>
      <c r="R94" s="2"/>
      <c r="S94" t="s">
        <v>94</v>
      </c>
      <c r="T94" t="s">
        <v>90</v>
      </c>
      <c r="U94" t="s">
        <v>118</v>
      </c>
      <c r="V94" t="s">
        <v>84</v>
      </c>
    </row>
    <row r="95" spans="1:22" x14ac:dyDescent="0.25">
      <c r="A95" t="s">
        <v>235</v>
      </c>
      <c r="B95" t="s">
        <v>77</v>
      </c>
      <c r="C95">
        <v>0.19</v>
      </c>
      <c r="D95" t="s">
        <v>32</v>
      </c>
      <c r="E95">
        <v>0.78</v>
      </c>
      <c r="F95" t="s">
        <v>96</v>
      </c>
      <c r="G95" t="s">
        <v>48</v>
      </c>
      <c r="H95">
        <v>0.22</v>
      </c>
      <c r="I95" t="s">
        <v>106</v>
      </c>
      <c r="J95" s="2"/>
      <c r="K95" s="2"/>
      <c r="L95" s="2"/>
      <c r="M95" s="2"/>
      <c r="N95" s="2"/>
      <c r="O95" s="2"/>
      <c r="P95" s="2"/>
      <c r="Q95" s="2"/>
      <c r="R95" s="2"/>
      <c r="S95" t="s">
        <v>88</v>
      </c>
      <c r="T95" t="s">
        <v>108</v>
      </c>
      <c r="U95" t="s">
        <v>82</v>
      </c>
      <c r="V95" t="s">
        <v>88</v>
      </c>
    </row>
    <row r="96" spans="1:22" x14ac:dyDescent="0.25">
      <c r="A96" t="s">
        <v>236</v>
      </c>
      <c r="B96" t="s">
        <v>61</v>
      </c>
      <c r="C96">
        <v>0.46</v>
      </c>
      <c r="D96" t="s">
        <v>52</v>
      </c>
      <c r="E96">
        <v>1</v>
      </c>
      <c r="F96" t="s">
        <v>92</v>
      </c>
      <c r="J96" s="2"/>
      <c r="K96" s="2"/>
      <c r="L96" s="2"/>
      <c r="M96" s="2"/>
      <c r="N96" s="2"/>
      <c r="O96" s="2"/>
      <c r="P96" s="2"/>
      <c r="Q96" s="2"/>
      <c r="R96" s="2"/>
      <c r="S96" t="s">
        <v>90</v>
      </c>
      <c r="T96" t="s">
        <v>88</v>
      </c>
      <c r="U96" t="s">
        <v>118</v>
      </c>
      <c r="V96" t="s">
        <v>88</v>
      </c>
    </row>
    <row r="97" spans="1:22" x14ac:dyDescent="0.25">
      <c r="A97" t="s">
        <v>237</v>
      </c>
      <c r="B97" t="s">
        <v>61</v>
      </c>
      <c r="C97">
        <v>0.48</v>
      </c>
      <c r="D97" t="s">
        <v>38</v>
      </c>
      <c r="E97">
        <v>1</v>
      </c>
      <c r="F97" t="s">
        <v>118</v>
      </c>
      <c r="J97" s="2"/>
      <c r="K97" s="2"/>
      <c r="L97" s="2"/>
      <c r="M97" s="2"/>
      <c r="N97" s="2"/>
      <c r="O97" s="2"/>
      <c r="P97" s="2"/>
      <c r="Q97" s="2"/>
      <c r="R97" s="2"/>
      <c r="S97" t="s">
        <v>84</v>
      </c>
      <c r="T97" t="s">
        <v>92</v>
      </c>
      <c r="U97" t="s">
        <v>112</v>
      </c>
      <c r="V97" t="s">
        <v>88</v>
      </c>
    </row>
    <row r="98" spans="1:22" x14ac:dyDescent="0.25">
      <c r="A98" t="s">
        <v>238</v>
      </c>
      <c r="B98" t="s">
        <v>77</v>
      </c>
      <c r="C98">
        <v>0.32</v>
      </c>
      <c r="D98" t="s">
        <v>34</v>
      </c>
      <c r="E98">
        <v>1</v>
      </c>
      <c r="F98" t="s">
        <v>94</v>
      </c>
      <c r="J98" s="2"/>
      <c r="K98" s="2"/>
      <c r="L98" s="2"/>
      <c r="M98" s="2"/>
      <c r="N98" s="2"/>
      <c r="O98" s="2"/>
      <c r="P98" s="2"/>
      <c r="Q98" s="2"/>
      <c r="R98" s="2"/>
      <c r="S98" t="s">
        <v>114</v>
      </c>
      <c r="T98" t="s">
        <v>102</v>
      </c>
      <c r="U98" t="s">
        <v>114</v>
      </c>
      <c r="V98" t="s">
        <v>92</v>
      </c>
    </row>
    <row r="99" spans="1:22" x14ac:dyDescent="0.25">
      <c r="A99" t="s">
        <v>239</v>
      </c>
      <c r="B99" t="s">
        <v>71</v>
      </c>
      <c r="C99">
        <v>0.05</v>
      </c>
      <c r="D99" t="s">
        <v>34</v>
      </c>
      <c r="E99">
        <v>1</v>
      </c>
      <c r="F99" t="s">
        <v>116</v>
      </c>
      <c r="J99" s="2"/>
      <c r="K99" s="2"/>
      <c r="L99" s="2"/>
      <c r="M99" s="2"/>
      <c r="N99" s="2"/>
      <c r="O99" s="2"/>
      <c r="P99" s="2"/>
      <c r="Q99" s="2"/>
      <c r="R99" s="2"/>
      <c r="S99" t="s">
        <v>86</v>
      </c>
      <c r="T99" t="s">
        <v>102</v>
      </c>
      <c r="U99" t="s">
        <v>114</v>
      </c>
      <c r="V99" t="s">
        <v>102</v>
      </c>
    </row>
    <row r="100" spans="1:22" x14ac:dyDescent="0.25">
      <c r="A100" t="s">
        <v>240</v>
      </c>
      <c r="B100" t="s">
        <v>75</v>
      </c>
      <c r="C100">
        <v>0.48</v>
      </c>
      <c r="D100" t="s">
        <v>40</v>
      </c>
      <c r="E100">
        <v>0.85</v>
      </c>
      <c r="F100" t="s">
        <v>114</v>
      </c>
      <c r="G100" t="s">
        <v>44</v>
      </c>
      <c r="H100">
        <v>0.15</v>
      </c>
      <c r="I100" t="s">
        <v>110</v>
      </c>
      <c r="J100" s="2"/>
      <c r="K100" s="2"/>
      <c r="L100" s="2"/>
      <c r="M100" s="2"/>
      <c r="N100" s="2"/>
      <c r="O100" s="2"/>
      <c r="P100" s="2"/>
      <c r="Q100" s="2"/>
      <c r="R100" s="2"/>
      <c r="S100" t="s">
        <v>86</v>
      </c>
      <c r="T100" t="s">
        <v>114</v>
      </c>
      <c r="U100" t="s">
        <v>86</v>
      </c>
      <c r="V100" t="s">
        <v>84</v>
      </c>
    </row>
    <row r="101" spans="1:22" x14ac:dyDescent="0.25">
      <c r="A101" t="s">
        <v>241</v>
      </c>
      <c r="B101" t="s">
        <v>69</v>
      </c>
      <c r="C101">
        <v>0.16</v>
      </c>
      <c r="D101" t="s">
        <v>32</v>
      </c>
      <c r="E101">
        <v>1</v>
      </c>
      <c r="F101" t="s">
        <v>88</v>
      </c>
      <c r="J101" s="2"/>
      <c r="K101" s="2"/>
      <c r="L101" s="2"/>
      <c r="M101" s="2"/>
      <c r="N101" s="2"/>
      <c r="O101" s="2"/>
      <c r="P101" s="2"/>
      <c r="Q101" s="2"/>
      <c r="R101" s="2"/>
      <c r="S101" t="s">
        <v>108</v>
      </c>
      <c r="T101" t="s">
        <v>86</v>
      </c>
      <c r="U101" t="s">
        <v>86</v>
      </c>
      <c r="V101" t="s">
        <v>100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REF_PRODUCTS!$A$2:$A$12</xm:f>
          </x14:formula1>
          <xm:sqref>B2:B101</xm:sqref>
        </x14:dataValidation>
        <x14:dataValidation type="list" allowBlank="1" xr:uid="{00000000-0002-0000-0000-000001000000}">
          <x14:formula1>
            <xm:f>REF_MATERIALS!$A$2:$A$17</xm:f>
          </x14:formula1>
          <xm:sqref>D2:D101 P2:P101 M2:M101 J2:J101 G2:G101</xm:sqref>
        </x14:dataValidation>
        <x14:dataValidation type="list" allowBlank="1" xr:uid="{00000000-0002-0000-0000-000002000000}">
          <x14:formula1>
            <xm:f>REF_COUNTRIES!$A$2:$A$21</xm:f>
          </x14:formula1>
          <xm:sqref>F2:F101 R2:V101 O2:O101 L2:L101 I2:I101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9.140625" defaultRowHeight="15" x14ac:dyDescent="0.25"/>
  <cols>
    <col min="1" max="2" width="38" customWidth="1"/>
  </cols>
  <sheetData>
    <row r="1" spans="1:2" x14ac:dyDescent="0.25">
      <c r="A1" s="3" t="s">
        <v>22</v>
      </c>
      <c r="B1" s="3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2" x14ac:dyDescent="0.25">
      <c r="A12" t="s">
        <v>44</v>
      </c>
      <c r="B12" t="s">
        <v>45</v>
      </c>
    </row>
    <row r="13" spans="1:2" x14ac:dyDescent="0.25">
      <c r="A13" t="s">
        <v>46</v>
      </c>
      <c r="B13" t="s">
        <v>47</v>
      </c>
    </row>
    <row r="14" spans="1:2" x14ac:dyDescent="0.25">
      <c r="A14" t="s">
        <v>48</v>
      </c>
      <c r="B14" t="s">
        <v>49</v>
      </c>
    </row>
    <row r="15" spans="1:2" x14ac:dyDescent="0.25">
      <c r="A15" t="s">
        <v>50</v>
      </c>
      <c r="B15" t="s">
        <v>51</v>
      </c>
    </row>
    <row r="16" spans="1:2" x14ac:dyDescent="0.25">
      <c r="A16" t="s">
        <v>52</v>
      </c>
      <c r="B16" t="s">
        <v>53</v>
      </c>
    </row>
    <row r="17" spans="1:2" x14ac:dyDescent="0.25">
      <c r="A17" t="s">
        <v>54</v>
      </c>
      <c r="B17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9.140625" defaultRowHeight="15" x14ac:dyDescent="0.25"/>
  <cols>
    <col min="1" max="1" width="28" customWidth="1"/>
    <col min="2" max="2" width="20" customWidth="1"/>
  </cols>
  <sheetData>
    <row r="1" spans="1:2" x14ac:dyDescent="0.25">
      <c r="A1" s="3" t="s">
        <v>22</v>
      </c>
      <c r="B1" s="3" t="s">
        <v>56</v>
      </c>
    </row>
    <row r="2" spans="1:2" x14ac:dyDescent="0.25">
      <c r="A2" t="s">
        <v>57</v>
      </c>
      <c r="B2" t="s">
        <v>58</v>
      </c>
    </row>
    <row r="3" spans="1:2" x14ac:dyDescent="0.25">
      <c r="A3" t="s">
        <v>59</v>
      </c>
      <c r="B3" t="s">
        <v>60</v>
      </c>
    </row>
    <row r="4" spans="1:2" x14ac:dyDescent="0.25">
      <c r="A4" t="s">
        <v>61</v>
      </c>
      <c r="B4" t="s">
        <v>62</v>
      </c>
    </row>
    <row r="5" spans="1:2" x14ac:dyDescent="0.25">
      <c r="A5" t="s">
        <v>63</v>
      </c>
      <c r="B5" t="s">
        <v>64</v>
      </c>
    </row>
    <row r="6" spans="1:2" x14ac:dyDescent="0.25">
      <c r="A6" t="s">
        <v>65</v>
      </c>
      <c r="B6" t="s">
        <v>66</v>
      </c>
    </row>
    <row r="7" spans="1:2" x14ac:dyDescent="0.25">
      <c r="A7" t="s">
        <v>67</v>
      </c>
      <c r="B7" t="s">
        <v>68</v>
      </c>
    </row>
    <row r="8" spans="1:2" x14ac:dyDescent="0.25">
      <c r="A8" t="s">
        <v>69</v>
      </c>
      <c r="B8" t="s">
        <v>70</v>
      </c>
    </row>
    <row r="9" spans="1:2" x14ac:dyDescent="0.25">
      <c r="A9" t="s">
        <v>71</v>
      </c>
      <c r="B9" t="s">
        <v>72</v>
      </c>
    </row>
    <row r="10" spans="1:2" x14ac:dyDescent="0.25">
      <c r="A10" t="s">
        <v>73</v>
      </c>
      <c r="B10" t="s">
        <v>74</v>
      </c>
    </row>
    <row r="11" spans="1:2" x14ac:dyDescent="0.25">
      <c r="A11" t="s">
        <v>75</v>
      </c>
      <c r="B11" t="s">
        <v>76</v>
      </c>
    </row>
    <row r="12" spans="1:2" x14ac:dyDescent="0.25">
      <c r="A12" t="s">
        <v>77</v>
      </c>
      <c r="B12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baseColWidth="10" defaultColWidth="9.140625" defaultRowHeight="15" x14ac:dyDescent="0.25"/>
  <cols>
    <col min="1" max="1" width="28" customWidth="1"/>
    <col min="2" max="2" width="15" customWidth="1"/>
  </cols>
  <sheetData>
    <row r="1" spans="1:2" x14ac:dyDescent="0.25">
      <c r="A1" s="3" t="s">
        <v>22</v>
      </c>
      <c r="B1" s="3" t="s">
        <v>79</v>
      </c>
    </row>
    <row r="2" spans="1:2" x14ac:dyDescent="0.25">
      <c r="A2" t="s">
        <v>80</v>
      </c>
      <c r="B2" t="s">
        <v>81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  <row r="7" spans="1:2" x14ac:dyDescent="0.25">
      <c r="A7" t="s">
        <v>90</v>
      </c>
      <c r="B7" t="s">
        <v>91</v>
      </c>
    </row>
    <row r="8" spans="1:2" x14ac:dyDescent="0.25">
      <c r="A8" t="s">
        <v>92</v>
      </c>
      <c r="B8" t="s">
        <v>93</v>
      </c>
    </row>
    <row r="9" spans="1:2" x14ac:dyDescent="0.25">
      <c r="A9" t="s">
        <v>94</v>
      </c>
      <c r="B9" t="s">
        <v>95</v>
      </c>
    </row>
    <row r="10" spans="1:2" x14ac:dyDescent="0.25">
      <c r="A10" t="s">
        <v>96</v>
      </c>
      <c r="B10" t="s">
        <v>97</v>
      </c>
    </row>
    <row r="11" spans="1:2" x14ac:dyDescent="0.25">
      <c r="A11" t="s">
        <v>98</v>
      </c>
      <c r="B11" t="s">
        <v>99</v>
      </c>
    </row>
    <row r="12" spans="1:2" x14ac:dyDescent="0.25">
      <c r="A12" t="s">
        <v>100</v>
      </c>
      <c r="B12" t="s">
        <v>101</v>
      </c>
    </row>
    <row r="13" spans="1:2" x14ac:dyDescent="0.25">
      <c r="A13" t="s">
        <v>102</v>
      </c>
      <c r="B13" t="s">
        <v>103</v>
      </c>
    </row>
    <row r="14" spans="1:2" x14ac:dyDescent="0.25">
      <c r="A14" t="s">
        <v>104</v>
      </c>
      <c r="B14" t="s">
        <v>105</v>
      </c>
    </row>
    <row r="15" spans="1:2" x14ac:dyDescent="0.25">
      <c r="A15" t="s">
        <v>106</v>
      </c>
      <c r="B15" t="s">
        <v>107</v>
      </c>
    </row>
    <row r="16" spans="1:2" x14ac:dyDescent="0.25">
      <c r="A16" t="s">
        <v>108</v>
      </c>
      <c r="B16" t="s">
        <v>109</v>
      </c>
    </row>
    <row r="17" spans="1:2" x14ac:dyDescent="0.25">
      <c r="A17" t="s">
        <v>110</v>
      </c>
      <c r="B17" t="s">
        <v>111</v>
      </c>
    </row>
    <row r="18" spans="1:2" x14ac:dyDescent="0.25">
      <c r="A18" t="s">
        <v>112</v>
      </c>
      <c r="B18" t="s">
        <v>113</v>
      </c>
    </row>
    <row r="19" spans="1:2" x14ac:dyDescent="0.25">
      <c r="A19" t="s">
        <v>114</v>
      </c>
      <c r="B19" t="s">
        <v>115</v>
      </c>
    </row>
    <row r="20" spans="1:2" x14ac:dyDescent="0.25">
      <c r="A20" t="s">
        <v>116</v>
      </c>
      <c r="B20" t="s">
        <v>117</v>
      </c>
    </row>
    <row r="21" spans="1:2" x14ac:dyDescent="0.25">
      <c r="A21" t="s">
        <v>118</v>
      </c>
      <c r="B21" t="s">
        <v>119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2" width="22" customWidth="1"/>
  </cols>
  <sheetData>
    <row r="1" spans="1:22" ht="39.950000000000003" customHeight="1" x14ac:dyDescent="0.25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  <c r="O1" s="4" t="s">
        <v>134</v>
      </c>
      <c r="P1" s="4" t="s">
        <v>135</v>
      </c>
      <c r="Q1" s="4" t="s">
        <v>136</v>
      </c>
      <c r="R1" s="4" t="s">
        <v>137</v>
      </c>
      <c r="S1" s="4" t="s">
        <v>138</v>
      </c>
      <c r="T1" s="4" t="s">
        <v>139</v>
      </c>
      <c r="U1" s="4" t="s">
        <v>140</v>
      </c>
      <c r="V1" s="4" t="s">
        <v>141</v>
      </c>
    </row>
    <row r="2" spans="1:22" x14ac:dyDescent="0.25">
      <c r="A2" s="5" t="str">
        <f>SAISIE!$A2</f>
        <v>Produit Test 001 - Jupe / Robe</v>
      </c>
      <c r="B2" s="5" t="str">
        <f>IFERROR(VLOOKUP(SAISIE!$B2,REF_PRODUCTS!$A:$B,2,FALSE),"")</f>
        <v>jupe</v>
      </c>
      <c r="C2" s="5">
        <f>SAISIE!$C2</f>
        <v>0.39</v>
      </c>
      <c r="D2" s="5" t="str">
        <f>IFERROR(VLOOKUP(SAISIE!$D2,REF_MATERIALS!$A:$B,2,FALSE),"")</f>
        <v>9dba0e95-0c35-4f8b-9267-62ddf47d4984</v>
      </c>
      <c r="E2" s="5">
        <f>SAISIE!$E2</f>
        <v>1</v>
      </c>
      <c r="F2" s="5" t="str">
        <f>IFERROR(VLOOKUP(SAISIE!$F2,REF_COUNTRIES!$A:$B,2,FALSE),"")</f>
        <v>---</v>
      </c>
      <c r="G2" s="5" t="str">
        <f>IFERROR(VLOOKUP(SAISIE!$G2,REF_MATERIALS!$A:$B,2,FALSE),"")</f>
        <v/>
      </c>
      <c r="H2" s="5">
        <f>SAISIE!$H2</f>
        <v>0</v>
      </c>
      <c r="I2" s="5" t="str">
        <f>IFERROR(VLOOKUP(SAISIE!$I2,REF_COUNTRIES!$A:$B,2,FALSE),"")</f>
        <v/>
      </c>
      <c r="J2" s="5" t="str">
        <f>IFERROR(VLOOKUP(SAISIE!$J2,REF_MATERIALS!$A:$B,2,FALSE),"")</f>
        <v/>
      </c>
      <c r="K2" s="5">
        <f>SAISIE!$K2</f>
        <v>0</v>
      </c>
      <c r="L2" s="5" t="str">
        <f>IFERROR(VLOOKUP(SAISIE!$L2,REF_COUNTRIES!$A:$B,2,FALSE),"")</f>
        <v/>
      </c>
      <c r="M2" s="5" t="str">
        <f>IFERROR(VLOOKUP(SAISIE!$M2,REF_MATERIALS!$A:$B,2,FALSE),"")</f>
        <v/>
      </c>
      <c r="N2" s="5">
        <f>SAISIE!$N2</f>
        <v>0</v>
      </c>
      <c r="O2" s="5" t="str">
        <f>IFERROR(VLOOKUP(SAISIE!$O2,REF_COUNTRIES!$A:$B,2,FALSE),"")</f>
        <v/>
      </c>
      <c r="P2" s="5" t="str">
        <f>IFERROR(VLOOKUP(SAISIE!$P2,REF_MATERIALS!$A:$B,2,FALSE),"")</f>
        <v/>
      </c>
      <c r="Q2" s="5">
        <f>SAISIE!$Q2</f>
        <v>0</v>
      </c>
      <c r="R2" s="5" t="str">
        <f>IFERROR(VLOOKUP(SAISIE!$R2,REF_COUNTRIES!$A:$B,2,FALSE),"")</f>
        <v/>
      </c>
      <c r="S2" s="5" t="str">
        <f>IFERROR(VLOOKUP(SAISIE!$S2,REF_COUNTRIES!$A:$B,2,FALSE),"")</f>
        <v>RLA</v>
      </c>
      <c r="T2" s="5" t="str">
        <f>IFERROR(VLOOKUP(SAISIE!$T2,REF_COUNTRIES!$A:$B,2,FALSE),"")</f>
        <v>---</v>
      </c>
      <c r="U2" s="5" t="str">
        <f>IFERROR(VLOOKUP(SAISIE!$U2,REF_COUNTRIES!$A:$B,2,FALSE),"")</f>
        <v>ROC</v>
      </c>
      <c r="V2" s="5" t="str">
        <f>IFERROR(VLOOKUP(SAISIE!$V2,REF_COUNTRIES!$A:$B,2,FALSE),"")</f>
        <v>RAS</v>
      </c>
    </row>
    <row r="3" spans="1:22" x14ac:dyDescent="0.25">
      <c r="A3" s="5" t="str">
        <f>SAISIE!$A3</f>
        <v>Produit Test 002 - Caleçon (tissé)</v>
      </c>
      <c r="B3" s="5" t="str">
        <f>IFERROR(VLOOKUP(SAISIE!$B3,REF_PRODUCTS!$A:$B,2,FALSE),"")</f>
        <v>calecon</v>
      </c>
      <c r="C3" s="5">
        <f>SAISIE!$C3</f>
        <v>0.39</v>
      </c>
      <c r="D3" s="5" t="str">
        <f>IFERROR(VLOOKUP(SAISIE!$D3,REF_MATERIALS!$A:$B,2,FALSE),"")</f>
        <v>d3d20384-88fb-4c75-ac12-c647365ac6c5</v>
      </c>
      <c r="E3" s="5">
        <f>SAISIE!$E3</f>
        <v>1</v>
      </c>
      <c r="F3" s="5" t="str">
        <f>IFERROR(VLOOKUP(SAISIE!$F3,REF_COUNTRIES!$A:$B,2,FALSE),"")</f>
        <v>MM</v>
      </c>
      <c r="G3" s="5" t="str">
        <f>IFERROR(VLOOKUP(SAISIE!$G3,REF_MATERIALS!$A:$B,2,FALSE),"")</f>
        <v/>
      </c>
      <c r="H3" s="5">
        <f>SAISIE!$H3</f>
        <v>0</v>
      </c>
      <c r="I3" s="5" t="str">
        <f>IFERROR(VLOOKUP(SAISIE!$I3,REF_COUNTRIES!$A:$B,2,FALSE),"")</f>
        <v/>
      </c>
      <c r="J3" s="5" t="str">
        <f>IFERROR(VLOOKUP(SAISIE!$J3,REF_MATERIALS!$A:$B,2,FALSE),"")</f>
        <v/>
      </c>
      <c r="K3" s="5">
        <f>SAISIE!$K3</f>
        <v>0</v>
      </c>
      <c r="L3" s="5" t="str">
        <f>IFERROR(VLOOKUP(SAISIE!$L3,REF_COUNTRIES!$A:$B,2,FALSE),"")</f>
        <v/>
      </c>
      <c r="M3" s="5" t="str">
        <f>IFERROR(VLOOKUP(SAISIE!$M3,REF_MATERIALS!$A:$B,2,FALSE),"")</f>
        <v/>
      </c>
      <c r="N3" s="5">
        <f>SAISIE!$N3</f>
        <v>0</v>
      </c>
      <c r="O3" s="5" t="str">
        <f>IFERROR(VLOOKUP(SAISIE!$O3,REF_COUNTRIES!$A:$B,2,FALSE),"")</f>
        <v/>
      </c>
      <c r="P3" s="5" t="str">
        <f>IFERROR(VLOOKUP(SAISIE!$P3,REF_MATERIALS!$A:$B,2,FALSE),"")</f>
        <v/>
      </c>
      <c r="Q3" s="5">
        <f>SAISIE!$Q3</f>
        <v>0</v>
      </c>
      <c r="R3" s="5" t="str">
        <f>IFERROR(VLOOKUP(SAISIE!$R3,REF_COUNTRIES!$A:$B,2,FALSE),"")</f>
        <v/>
      </c>
      <c r="S3" s="5" t="str">
        <f>IFERROR(VLOOKUP(SAISIE!$S3,REF_COUNTRIES!$A:$B,2,FALSE),"")</f>
        <v>FR</v>
      </c>
      <c r="T3" s="5" t="str">
        <f>IFERROR(VLOOKUP(SAISIE!$T3,REF_COUNTRIES!$A:$B,2,FALSE),"")</f>
        <v>KH</v>
      </c>
      <c r="U3" s="5" t="str">
        <f>IFERROR(VLOOKUP(SAISIE!$U3,REF_COUNTRIES!$A:$B,2,FALSE),"")</f>
        <v>VN</v>
      </c>
      <c r="V3" s="5" t="str">
        <f>IFERROR(VLOOKUP(SAISIE!$V3,REF_COUNTRIES!$A:$B,2,FALSE),"")</f>
        <v>ROC</v>
      </c>
    </row>
    <row r="4" spans="1:22" x14ac:dyDescent="0.25">
      <c r="A4" s="5" t="str">
        <f>SAISIE!$A4</f>
        <v>Produit Test 003 - Chaussettes</v>
      </c>
      <c r="B4" s="5" t="str">
        <f>IFERROR(VLOOKUP(SAISIE!$B4,REF_PRODUCTS!$A:$B,2,FALSE),"")</f>
        <v>chaussettes</v>
      </c>
      <c r="C4" s="5">
        <f>SAISIE!$C4</f>
        <v>0.1</v>
      </c>
      <c r="D4" s="5" t="str">
        <f>IFERROR(VLOOKUP(SAISIE!$D4,REF_MATERIALS!$A:$B,2,FALSE),"")</f>
        <v>c087d394-5901-4b03-ba7a-7d4b0db0490c</v>
      </c>
      <c r="E4" s="5">
        <f>SAISIE!$E4</f>
        <v>1</v>
      </c>
      <c r="F4" s="5" t="str">
        <f>IFERROR(VLOOKUP(SAISIE!$F4,REF_COUNTRIES!$A:$B,2,FALSE),"")</f>
        <v>IN</v>
      </c>
      <c r="G4" s="5" t="str">
        <f>IFERROR(VLOOKUP(SAISIE!$G4,REF_MATERIALS!$A:$B,2,FALSE),"")</f>
        <v/>
      </c>
      <c r="H4" s="5">
        <f>SAISIE!$H4</f>
        <v>0</v>
      </c>
      <c r="I4" s="5" t="str">
        <f>IFERROR(VLOOKUP(SAISIE!$I4,REF_COUNTRIES!$A:$B,2,FALSE),"")</f>
        <v/>
      </c>
      <c r="J4" s="5" t="str">
        <f>IFERROR(VLOOKUP(SAISIE!$J4,REF_MATERIALS!$A:$B,2,FALSE),"")</f>
        <v/>
      </c>
      <c r="K4" s="5">
        <f>SAISIE!$K4</f>
        <v>0</v>
      </c>
      <c r="L4" s="5" t="str">
        <f>IFERROR(VLOOKUP(SAISIE!$L4,REF_COUNTRIES!$A:$B,2,FALSE),"")</f>
        <v/>
      </c>
      <c r="M4" s="5" t="str">
        <f>IFERROR(VLOOKUP(SAISIE!$M4,REF_MATERIALS!$A:$B,2,FALSE),"")</f>
        <v/>
      </c>
      <c r="N4" s="5">
        <f>SAISIE!$N4</f>
        <v>0</v>
      </c>
      <c r="O4" s="5" t="str">
        <f>IFERROR(VLOOKUP(SAISIE!$O4,REF_COUNTRIES!$A:$B,2,FALSE),"")</f>
        <v/>
      </c>
      <c r="P4" s="5" t="str">
        <f>IFERROR(VLOOKUP(SAISIE!$P4,REF_MATERIALS!$A:$B,2,FALSE),"")</f>
        <v/>
      </c>
      <c r="Q4" s="5">
        <f>SAISIE!$Q4</f>
        <v>0</v>
      </c>
      <c r="R4" s="5" t="str">
        <f>IFERROR(VLOOKUP(SAISIE!$R4,REF_COUNTRIES!$A:$B,2,FALSE),"")</f>
        <v/>
      </c>
      <c r="S4" s="5" t="str">
        <f>IFERROR(VLOOKUP(SAISIE!$S4,REF_COUNTRIES!$A:$B,2,FALSE),"")</f>
        <v>ROC</v>
      </c>
      <c r="T4" s="5" t="str">
        <f>IFERROR(VLOOKUP(SAISIE!$T4,REF_COUNTRIES!$A:$B,2,FALSE),"")</f>
        <v>RAF</v>
      </c>
      <c r="U4" s="5" t="str">
        <f>IFERROR(VLOOKUP(SAISIE!$U4,REF_COUNTRIES!$A:$B,2,FALSE),"")</f>
        <v>MA</v>
      </c>
      <c r="V4" s="5" t="str">
        <f>IFERROR(VLOOKUP(SAISIE!$V4,REF_COUNTRIES!$A:$B,2,FALSE),"")</f>
        <v>FR</v>
      </c>
    </row>
    <row r="5" spans="1:22" x14ac:dyDescent="0.25">
      <c r="A5" s="5" t="str">
        <f>SAISIE!$A5</f>
        <v>Produit Test 004 - T-shirt / Polo</v>
      </c>
      <c r="B5" s="5" t="str">
        <f>IFERROR(VLOOKUP(SAISIE!$B5,REF_PRODUCTS!$A:$B,2,FALSE),"")</f>
        <v>tshirt</v>
      </c>
      <c r="C5" s="5">
        <f>SAISIE!$C5</f>
        <v>0.19</v>
      </c>
      <c r="D5" s="5" t="str">
        <f>IFERROR(VLOOKUP(SAISIE!$D5,REF_MATERIALS!$A:$B,2,FALSE),"")</f>
        <v>0c1a4654-b030-4fe1-86b7-d96ce0b85bb8</v>
      </c>
      <c r="E5" s="5">
        <f>SAISIE!$E5</f>
        <v>0.54</v>
      </c>
      <c r="F5" s="5" t="str">
        <f>IFERROR(VLOOKUP(SAISIE!$F5,REF_COUNTRIES!$A:$B,2,FALSE),"")</f>
        <v>KH</v>
      </c>
      <c r="G5" s="5" t="str">
        <f>IFERROR(VLOOKUP(SAISIE!$G5,REF_MATERIALS!$A:$B,2,FALSE),"")</f>
        <v>9dba0e95-0c35-4f8b-9267-62ddf47d4984</v>
      </c>
      <c r="H5" s="5">
        <f>SAISIE!$H5</f>
        <v>0.46</v>
      </c>
      <c r="I5" s="5" t="str">
        <f>IFERROR(VLOOKUP(SAISIE!$I5,REF_COUNTRIES!$A:$B,2,FALSE),"")</f>
        <v>MM</v>
      </c>
      <c r="J5" s="5" t="str">
        <f>IFERROR(VLOOKUP(SAISIE!$J5,REF_MATERIALS!$A:$B,2,FALSE),"")</f>
        <v/>
      </c>
      <c r="K5" s="5">
        <f>SAISIE!$K5</f>
        <v>0</v>
      </c>
      <c r="L5" s="5" t="str">
        <f>IFERROR(VLOOKUP(SAISIE!$L5,REF_COUNTRIES!$A:$B,2,FALSE),"")</f>
        <v/>
      </c>
      <c r="M5" s="5" t="str">
        <f>IFERROR(VLOOKUP(SAISIE!$M5,REF_MATERIALS!$A:$B,2,FALSE),"")</f>
        <v/>
      </c>
      <c r="N5" s="5">
        <f>SAISIE!$N5</f>
        <v>0</v>
      </c>
      <c r="O5" s="5" t="str">
        <f>IFERROR(VLOOKUP(SAISIE!$O5,REF_COUNTRIES!$A:$B,2,FALSE),"")</f>
        <v/>
      </c>
      <c r="P5" s="5" t="str">
        <f>IFERROR(VLOOKUP(SAISIE!$P5,REF_MATERIALS!$A:$B,2,FALSE),"")</f>
        <v/>
      </c>
      <c r="Q5" s="5">
        <f>SAISIE!$Q5</f>
        <v>0</v>
      </c>
      <c r="R5" s="5" t="str">
        <f>IFERROR(VLOOKUP(SAISIE!$R5,REF_COUNTRIES!$A:$B,2,FALSE),"")</f>
        <v/>
      </c>
      <c r="S5" s="5" t="str">
        <f>IFERROR(VLOOKUP(SAISIE!$S5,REF_COUNTRIES!$A:$B,2,FALSE),"")</f>
        <v>ROC</v>
      </c>
      <c r="T5" s="5" t="str">
        <f>IFERROR(VLOOKUP(SAISIE!$T5,REF_COUNTRIES!$A:$B,2,FALSE),"")</f>
        <v>TN</v>
      </c>
      <c r="U5" s="5" t="str">
        <f>IFERROR(VLOOKUP(SAISIE!$U5,REF_COUNTRIES!$A:$B,2,FALSE),"")</f>
        <v>RLA</v>
      </c>
      <c r="V5" s="5" t="str">
        <f>IFERROR(VLOOKUP(SAISIE!$V5,REF_COUNTRIES!$A:$B,2,FALSE),"")</f>
        <v>RME</v>
      </c>
    </row>
    <row r="6" spans="1:22" x14ac:dyDescent="0.25">
      <c r="A6" s="5" t="str">
        <f>SAISIE!$A6</f>
        <v>Produit Test 005 - Jean</v>
      </c>
      <c r="B6" s="5" t="str">
        <f>IFERROR(VLOOKUP(SAISIE!$B6,REF_PRODUCTS!$A:$B,2,FALSE),"")</f>
        <v>jean</v>
      </c>
      <c r="C6" s="5">
        <f>SAISIE!$C6</f>
        <v>0.7</v>
      </c>
      <c r="D6" s="5" t="str">
        <f>IFERROR(VLOOKUP(SAISIE!$D6,REF_MATERIALS!$A:$B,2,FALSE),"")</f>
        <v>a52e486c-b67e-40af-8337-e8143cbf9076</v>
      </c>
      <c r="E6" s="5">
        <f>SAISIE!$E6</f>
        <v>1</v>
      </c>
      <c r="F6" s="5" t="str">
        <f>IFERROR(VLOOKUP(SAISIE!$F6,REF_COUNTRIES!$A:$B,2,FALSE),"")</f>
        <v>BD</v>
      </c>
      <c r="G6" s="5" t="str">
        <f>IFERROR(VLOOKUP(SAISIE!$G6,REF_MATERIALS!$A:$B,2,FALSE),"")</f>
        <v/>
      </c>
      <c r="H6" s="5">
        <f>SAISIE!$H6</f>
        <v>0</v>
      </c>
      <c r="I6" s="5" t="str">
        <f>IFERROR(VLOOKUP(SAISIE!$I6,REF_COUNTRIES!$A:$B,2,FALSE),"")</f>
        <v/>
      </c>
      <c r="J6" s="5" t="str">
        <f>IFERROR(VLOOKUP(SAISIE!$J6,REF_MATERIALS!$A:$B,2,FALSE),"")</f>
        <v/>
      </c>
      <c r="K6" s="5">
        <f>SAISIE!$K6</f>
        <v>0</v>
      </c>
      <c r="L6" s="5" t="str">
        <f>IFERROR(VLOOKUP(SAISIE!$L6,REF_COUNTRIES!$A:$B,2,FALSE),"")</f>
        <v/>
      </c>
      <c r="M6" s="5" t="str">
        <f>IFERROR(VLOOKUP(SAISIE!$M6,REF_MATERIALS!$A:$B,2,FALSE),"")</f>
        <v/>
      </c>
      <c r="N6" s="5">
        <f>SAISIE!$N6</f>
        <v>0</v>
      </c>
      <c r="O6" s="5" t="str">
        <f>IFERROR(VLOOKUP(SAISIE!$O6,REF_COUNTRIES!$A:$B,2,FALSE),"")</f>
        <v/>
      </c>
      <c r="P6" s="5" t="str">
        <f>IFERROR(VLOOKUP(SAISIE!$P6,REF_MATERIALS!$A:$B,2,FALSE),"")</f>
        <v/>
      </c>
      <c r="Q6" s="5">
        <f>SAISIE!$Q6</f>
        <v>0</v>
      </c>
      <c r="R6" s="5" t="str">
        <f>IFERROR(VLOOKUP(SAISIE!$R6,REF_COUNTRIES!$A:$B,2,FALSE),"")</f>
        <v/>
      </c>
      <c r="S6" s="5" t="str">
        <f>IFERROR(VLOOKUP(SAISIE!$S6,REF_COUNTRIES!$A:$B,2,FALSE),"")</f>
        <v>IN</v>
      </c>
      <c r="T6" s="5" t="str">
        <f>IFERROR(VLOOKUP(SAISIE!$T6,REF_COUNTRIES!$A:$B,2,FALSE),"")</f>
        <v>MA</v>
      </c>
      <c r="U6" s="5" t="str">
        <f>IFERROR(VLOOKUP(SAISIE!$U6,REF_COUNTRIES!$A:$B,2,FALSE),"")</f>
        <v>TR</v>
      </c>
      <c r="V6" s="5" t="str">
        <f>IFERROR(VLOOKUP(SAISIE!$V6,REF_COUNTRIES!$A:$B,2,FALSE),"")</f>
        <v>TR</v>
      </c>
    </row>
    <row r="7" spans="1:22" x14ac:dyDescent="0.25">
      <c r="A7" s="5" t="str">
        <f>SAISIE!$A7</f>
        <v>Produit Test 006 - T-shirt / Polo</v>
      </c>
      <c r="B7" s="5" t="str">
        <f>IFERROR(VLOOKUP(SAISIE!$B7,REF_PRODUCTS!$A:$B,2,FALSE),"")</f>
        <v>tshirt</v>
      </c>
      <c r="C7" s="5">
        <f>SAISIE!$C7</f>
        <v>0.17</v>
      </c>
      <c r="D7" s="5" t="str">
        <f>IFERROR(VLOOKUP(SAISIE!$D7,REF_MATERIALS!$A:$B,2,FALSE),"")</f>
        <v>8f44c680-1263-4588-b79b-a9e4dc3d8de4</v>
      </c>
      <c r="E7" s="5">
        <f>SAISIE!$E7</f>
        <v>0.74</v>
      </c>
      <c r="F7" s="5" t="str">
        <f>IFERROR(VLOOKUP(SAISIE!$F7,REF_COUNTRIES!$A:$B,2,FALSE),"")</f>
        <v>RLA</v>
      </c>
      <c r="G7" s="5" t="str">
        <f>IFERROR(VLOOKUP(SAISIE!$G7,REF_MATERIALS!$A:$B,2,FALSE),"")</f>
        <v>457e9b0d-9eda-4dca-b199-deeb0a154fa9</v>
      </c>
      <c r="H7" s="5">
        <f>SAISIE!$H7</f>
        <v>0.26</v>
      </c>
      <c r="I7" s="5" t="str">
        <f>IFERROR(VLOOKUP(SAISIE!$I7,REF_COUNTRIES!$A:$B,2,FALSE),"")</f>
        <v>ROC</v>
      </c>
      <c r="J7" s="5" t="str">
        <f>IFERROR(VLOOKUP(SAISIE!$J7,REF_MATERIALS!$A:$B,2,FALSE),"")</f>
        <v/>
      </c>
      <c r="K7" s="5">
        <f>SAISIE!$K7</f>
        <v>0</v>
      </c>
      <c r="L7" s="5" t="str">
        <f>IFERROR(VLOOKUP(SAISIE!$L7,REF_COUNTRIES!$A:$B,2,FALSE),"")</f>
        <v/>
      </c>
      <c r="M7" s="5" t="str">
        <f>IFERROR(VLOOKUP(SAISIE!$M7,REF_MATERIALS!$A:$B,2,FALSE),"")</f>
        <v/>
      </c>
      <c r="N7" s="5">
        <f>SAISIE!$N7</f>
        <v>0</v>
      </c>
      <c r="O7" s="5" t="str">
        <f>IFERROR(VLOOKUP(SAISIE!$O7,REF_COUNTRIES!$A:$B,2,FALSE),"")</f>
        <v/>
      </c>
      <c r="P7" s="5" t="str">
        <f>IFERROR(VLOOKUP(SAISIE!$P7,REF_MATERIALS!$A:$B,2,FALSE),"")</f>
        <v/>
      </c>
      <c r="Q7" s="5">
        <f>SAISIE!$Q7</f>
        <v>0</v>
      </c>
      <c r="R7" s="5" t="str">
        <f>IFERROR(VLOOKUP(SAISIE!$R7,REF_COUNTRIES!$A:$B,2,FALSE),"")</f>
        <v/>
      </c>
      <c r="S7" s="5" t="str">
        <f>IFERROR(VLOOKUP(SAISIE!$S7,REF_COUNTRIES!$A:$B,2,FALSE),"")</f>
        <v>KH</v>
      </c>
      <c r="T7" s="5" t="str">
        <f>IFERROR(VLOOKUP(SAISIE!$T7,REF_COUNTRIES!$A:$B,2,FALSE),"")</f>
        <v>ROC</v>
      </c>
      <c r="U7" s="5" t="str">
        <f>IFERROR(VLOOKUP(SAISIE!$U7,REF_COUNTRIES!$A:$B,2,FALSE),"")</f>
        <v>FR</v>
      </c>
      <c r="V7" s="5" t="str">
        <f>IFERROR(VLOOKUP(SAISIE!$V7,REF_COUNTRIES!$A:$B,2,FALSE),"")</f>
        <v>RNA</v>
      </c>
    </row>
    <row r="8" spans="1:22" x14ac:dyDescent="0.25">
      <c r="A8" s="5" t="str">
        <f>SAISIE!$A8</f>
        <v>Produit Test 007 - Maillot de bain</v>
      </c>
      <c r="B8" s="5" t="str">
        <f>IFERROR(VLOOKUP(SAISIE!$B8,REF_PRODUCTS!$A:$B,2,FALSE),"")</f>
        <v>maillot-de-bain</v>
      </c>
      <c r="C8" s="5">
        <f>SAISIE!$C8</f>
        <v>0.19</v>
      </c>
      <c r="D8" s="5" t="str">
        <f>IFERROR(VLOOKUP(SAISIE!$D8,REF_MATERIALS!$A:$B,2,FALSE),"")</f>
        <v>73ef624d-250e-4a9a-af5d-43505b21b527</v>
      </c>
      <c r="E8" s="5">
        <f>SAISIE!$E8</f>
        <v>0.56000000000000005</v>
      </c>
      <c r="F8" s="5" t="str">
        <f>IFERROR(VLOOKUP(SAISIE!$F8,REF_COUNTRIES!$A:$B,2,FALSE),"")</f>
        <v>RNA</v>
      </c>
      <c r="G8" s="5" t="str">
        <f>IFERROR(VLOOKUP(SAISIE!$G8,REF_MATERIALS!$A:$B,2,FALSE),"")</f>
        <v>62a4d6fb-3276-4ba5-93a3-889ecd3bff84</v>
      </c>
      <c r="H8" s="5">
        <f>SAISIE!$H8</f>
        <v>0.44</v>
      </c>
      <c r="I8" s="5" t="str">
        <f>IFERROR(VLOOKUP(SAISIE!$I8,REF_COUNTRIES!$A:$B,2,FALSE),"")</f>
        <v>KH</v>
      </c>
      <c r="J8" s="5" t="str">
        <f>IFERROR(VLOOKUP(SAISIE!$J8,REF_MATERIALS!$A:$B,2,FALSE),"")</f>
        <v/>
      </c>
      <c r="K8" s="5">
        <f>SAISIE!$K8</f>
        <v>0</v>
      </c>
      <c r="L8" s="5" t="str">
        <f>IFERROR(VLOOKUP(SAISIE!$L8,REF_COUNTRIES!$A:$B,2,FALSE),"")</f>
        <v/>
      </c>
      <c r="M8" s="5" t="str">
        <f>IFERROR(VLOOKUP(SAISIE!$M8,REF_MATERIALS!$A:$B,2,FALSE),"")</f>
        <v/>
      </c>
      <c r="N8" s="5">
        <f>SAISIE!$N8</f>
        <v>0</v>
      </c>
      <c r="O8" s="5" t="str">
        <f>IFERROR(VLOOKUP(SAISIE!$O8,REF_COUNTRIES!$A:$B,2,FALSE),"")</f>
        <v/>
      </c>
      <c r="P8" s="5" t="str">
        <f>IFERROR(VLOOKUP(SAISIE!$P8,REF_MATERIALS!$A:$B,2,FALSE),"")</f>
        <v/>
      </c>
      <c r="Q8" s="5">
        <f>SAISIE!$Q8</f>
        <v>0</v>
      </c>
      <c r="R8" s="5" t="str">
        <f>IFERROR(VLOOKUP(SAISIE!$R8,REF_COUNTRIES!$A:$B,2,FALSE),"")</f>
        <v/>
      </c>
      <c r="S8" s="5" t="str">
        <f>IFERROR(VLOOKUP(SAISIE!$S8,REF_COUNTRIES!$A:$B,2,FALSE),"")</f>
        <v>TR</v>
      </c>
      <c r="T8" s="5" t="str">
        <f>IFERROR(VLOOKUP(SAISIE!$T8,REF_COUNTRIES!$A:$B,2,FALSE),"")</f>
        <v>RAF</v>
      </c>
      <c r="U8" s="5" t="str">
        <f>IFERROR(VLOOKUP(SAISIE!$U8,REF_COUNTRIES!$A:$B,2,FALSE),"")</f>
        <v>KH</v>
      </c>
      <c r="V8" s="5" t="str">
        <f>IFERROR(VLOOKUP(SAISIE!$V8,REF_COUNTRIES!$A:$B,2,FALSE),"")</f>
        <v>TN</v>
      </c>
    </row>
    <row r="9" spans="1:22" x14ac:dyDescent="0.25">
      <c r="A9" s="5" t="str">
        <f>SAISIE!$A9</f>
        <v>Produit Test 008 - Caleçon (tissé)</v>
      </c>
      <c r="B9" s="5" t="str">
        <f>IFERROR(VLOOKUP(SAISIE!$B9,REF_PRODUCTS!$A:$B,2,FALSE),"")</f>
        <v>calecon</v>
      </c>
      <c r="C9" s="5">
        <f>SAISIE!$C9</f>
        <v>0.48</v>
      </c>
      <c r="D9" s="5" t="str">
        <f>IFERROR(VLOOKUP(SAISIE!$D9,REF_MATERIALS!$A:$B,2,FALSE),"")</f>
        <v>457e9b0d-9eda-4dca-b199-deeb0a154fa9</v>
      </c>
      <c r="E9" s="5">
        <f>SAISIE!$E9</f>
        <v>0.89</v>
      </c>
      <c r="F9" s="5" t="str">
        <f>IFERROR(VLOOKUP(SAISIE!$F9,REF_COUNTRIES!$A:$B,2,FALSE),"")</f>
        <v>RNA</v>
      </c>
      <c r="G9" s="5" t="str">
        <f>IFERROR(VLOOKUP(SAISIE!$G9,REF_MATERIALS!$A:$B,2,FALSE),"")</f>
        <v>a52e486c-b67e-40af-8337-e8143cbf9076</v>
      </c>
      <c r="H9" s="5">
        <f>SAISIE!$H9</f>
        <v>0.11</v>
      </c>
      <c r="I9" s="5" t="str">
        <f>IFERROR(VLOOKUP(SAISIE!$I9,REF_COUNTRIES!$A:$B,2,FALSE),"")</f>
        <v>CN</v>
      </c>
      <c r="J9" s="5" t="str">
        <f>IFERROR(VLOOKUP(SAISIE!$J9,REF_MATERIALS!$A:$B,2,FALSE),"")</f>
        <v/>
      </c>
      <c r="K9" s="5">
        <f>SAISIE!$K9</f>
        <v>0</v>
      </c>
      <c r="L9" s="5" t="str">
        <f>IFERROR(VLOOKUP(SAISIE!$L9,REF_COUNTRIES!$A:$B,2,FALSE),"")</f>
        <v/>
      </c>
      <c r="M9" s="5" t="str">
        <f>IFERROR(VLOOKUP(SAISIE!$M9,REF_MATERIALS!$A:$B,2,FALSE),"")</f>
        <v/>
      </c>
      <c r="N9" s="5">
        <f>SAISIE!$N9</f>
        <v>0</v>
      </c>
      <c r="O9" s="5" t="str">
        <f>IFERROR(VLOOKUP(SAISIE!$O9,REF_COUNTRIES!$A:$B,2,FALSE),"")</f>
        <v/>
      </c>
      <c r="P9" s="5" t="str">
        <f>IFERROR(VLOOKUP(SAISIE!$P9,REF_MATERIALS!$A:$B,2,FALSE),"")</f>
        <v/>
      </c>
      <c r="Q9" s="5">
        <f>SAISIE!$Q9</f>
        <v>0</v>
      </c>
      <c r="R9" s="5" t="str">
        <f>IFERROR(VLOOKUP(SAISIE!$R9,REF_COUNTRIES!$A:$B,2,FALSE),"")</f>
        <v/>
      </c>
      <c r="S9" s="5" t="str">
        <f>IFERROR(VLOOKUP(SAISIE!$S9,REF_COUNTRIES!$A:$B,2,FALSE),"")</f>
        <v>PK</v>
      </c>
      <c r="T9" s="5" t="str">
        <f>IFERROR(VLOOKUP(SAISIE!$T9,REF_COUNTRIES!$A:$B,2,FALSE),"")</f>
        <v>RLA</v>
      </c>
      <c r="U9" s="5" t="str">
        <f>IFERROR(VLOOKUP(SAISIE!$U9,REF_COUNTRIES!$A:$B,2,FALSE),"")</f>
        <v>MM</v>
      </c>
      <c r="V9" s="5" t="str">
        <f>IFERROR(VLOOKUP(SAISIE!$V9,REF_COUNTRIES!$A:$B,2,FALSE),"")</f>
        <v>VN</v>
      </c>
    </row>
    <row r="10" spans="1:22" x14ac:dyDescent="0.25">
      <c r="A10" s="5" t="str">
        <f>SAISIE!$A10</f>
        <v>Produit Test 009 - Manteau / Veste</v>
      </c>
      <c r="B10" s="5" t="str">
        <f>IFERROR(VLOOKUP(SAISIE!$B10,REF_PRODUCTS!$A:$B,2,FALSE),"")</f>
        <v>manteau</v>
      </c>
      <c r="C10" s="5">
        <f>SAISIE!$C10</f>
        <v>0.2</v>
      </c>
      <c r="D10" s="5" t="str">
        <f>IFERROR(VLOOKUP(SAISIE!$D10,REF_MATERIALS!$A:$B,2,FALSE),"")</f>
        <v>8f44c680-1263-4588-b79b-a9e4dc3d8de4</v>
      </c>
      <c r="E10" s="5">
        <f>SAISIE!$E10</f>
        <v>1</v>
      </c>
      <c r="F10" s="5" t="str">
        <f>IFERROR(VLOOKUP(SAISIE!$F10,REF_COUNTRIES!$A:$B,2,FALSE),"")</f>
        <v>FR</v>
      </c>
      <c r="G10" s="5" t="str">
        <f>IFERROR(VLOOKUP(SAISIE!$G10,REF_MATERIALS!$A:$B,2,FALSE),"")</f>
        <v/>
      </c>
      <c r="H10" s="5">
        <f>SAISIE!$H10</f>
        <v>0</v>
      </c>
      <c r="I10" s="5" t="str">
        <f>IFERROR(VLOOKUP(SAISIE!$I10,REF_COUNTRIES!$A:$B,2,FALSE),"")</f>
        <v/>
      </c>
      <c r="J10" s="5" t="str">
        <f>IFERROR(VLOOKUP(SAISIE!$J10,REF_MATERIALS!$A:$B,2,FALSE),"")</f>
        <v/>
      </c>
      <c r="K10" s="5">
        <f>SAISIE!$K10</f>
        <v>0</v>
      </c>
      <c r="L10" s="5" t="str">
        <f>IFERROR(VLOOKUP(SAISIE!$L10,REF_COUNTRIES!$A:$B,2,FALSE),"")</f>
        <v/>
      </c>
      <c r="M10" s="5" t="str">
        <f>IFERROR(VLOOKUP(SAISIE!$M10,REF_MATERIALS!$A:$B,2,FALSE),"")</f>
        <v/>
      </c>
      <c r="N10" s="5">
        <f>SAISIE!$N10</f>
        <v>0</v>
      </c>
      <c r="O10" s="5" t="str">
        <f>IFERROR(VLOOKUP(SAISIE!$O10,REF_COUNTRIES!$A:$B,2,FALSE),"")</f>
        <v/>
      </c>
      <c r="P10" s="5" t="str">
        <f>IFERROR(VLOOKUP(SAISIE!$P10,REF_MATERIALS!$A:$B,2,FALSE),"")</f>
        <v/>
      </c>
      <c r="Q10" s="5">
        <f>SAISIE!$Q10</f>
        <v>0</v>
      </c>
      <c r="R10" s="5" t="str">
        <f>IFERROR(VLOOKUP(SAISIE!$R10,REF_COUNTRIES!$A:$B,2,FALSE),"")</f>
        <v/>
      </c>
      <c r="S10" s="5" t="str">
        <f>IFERROR(VLOOKUP(SAISIE!$S10,REF_COUNTRIES!$A:$B,2,FALSE),"")</f>
        <v>BD</v>
      </c>
      <c r="T10" s="5" t="str">
        <f>IFERROR(VLOOKUP(SAISIE!$T10,REF_COUNTRIES!$A:$B,2,FALSE),"")</f>
        <v>ROC</v>
      </c>
      <c r="U10" s="5" t="str">
        <f>IFERROR(VLOOKUP(SAISIE!$U10,REF_COUNTRIES!$A:$B,2,FALSE),"")</f>
        <v>TR</v>
      </c>
      <c r="V10" s="5" t="str">
        <f>IFERROR(VLOOKUP(SAISIE!$V10,REF_COUNTRIES!$A:$B,2,FALSE),"")</f>
        <v>REO</v>
      </c>
    </row>
    <row r="11" spans="1:22" x14ac:dyDescent="0.25">
      <c r="A11" s="5" t="str">
        <f>SAISIE!$A11</f>
        <v>Produit Test 010 - Manteau / Veste</v>
      </c>
      <c r="B11" s="5" t="str">
        <f>IFERROR(VLOOKUP(SAISIE!$B11,REF_PRODUCTS!$A:$B,2,FALSE),"")</f>
        <v>manteau</v>
      </c>
      <c r="C11" s="5">
        <f>SAISIE!$C11</f>
        <v>0.34</v>
      </c>
      <c r="D11" s="5" t="str">
        <f>IFERROR(VLOOKUP(SAISIE!$D11,REF_MATERIALS!$A:$B,2,FALSE),"")</f>
        <v>9dba0e95-0c35-4f8b-9267-62ddf47d4984</v>
      </c>
      <c r="E11" s="5">
        <f>SAISIE!$E11</f>
        <v>1</v>
      </c>
      <c r="F11" s="5" t="str">
        <f>IFERROR(VLOOKUP(SAISIE!$F11,REF_COUNTRIES!$A:$B,2,FALSE),"")</f>
        <v>REO</v>
      </c>
      <c r="G11" s="5" t="str">
        <f>IFERROR(VLOOKUP(SAISIE!$G11,REF_MATERIALS!$A:$B,2,FALSE),"")</f>
        <v/>
      </c>
      <c r="H11" s="5">
        <f>SAISIE!$H11</f>
        <v>0</v>
      </c>
      <c r="I11" s="5" t="str">
        <f>IFERROR(VLOOKUP(SAISIE!$I11,REF_COUNTRIES!$A:$B,2,FALSE),"")</f>
        <v/>
      </c>
      <c r="J11" s="5" t="str">
        <f>IFERROR(VLOOKUP(SAISIE!$J11,REF_MATERIALS!$A:$B,2,FALSE),"")</f>
        <v/>
      </c>
      <c r="K11" s="5">
        <f>SAISIE!$K11</f>
        <v>0</v>
      </c>
      <c r="L11" s="5" t="str">
        <f>IFERROR(VLOOKUP(SAISIE!$L11,REF_COUNTRIES!$A:$B,2,FALSE),"")</f>
        <v/>
      </c>
      <c r="M11" s="5" t="str">
        <f>IFERROR(VLOOKUP(SAISIE!$M11,REF_MATERIALS!$A:$B,2,FALSE),"")</f>
        <v/>
      </c>
      <c r="N11" s="5">
        <f>SAISIE!$N11</f>
        <v>0</v>
      </c>
      <c r="O11" s="5" t="str">
        <f>IFERROR(VLOOKUP(SAISIE!$O11,REF_COUNTRIES!$A:$B,2,FALSE),"")</f>
        <v/>
      </c>
      <c r="P11" s="5" t="str">
        <f>IFERROR(VLOOKUP(SAISIE!$P11,REF_MATERIALS!$A:$B,2,FALSE),"")</f>
        <v/>
      </c>
      <c r="Q11" s="5">
        <f>SAISIE!$Q11</f>
        <v>0</v>
      </c>
      <c r="R11" s="5" t="str">
        <f>IFERROR(VLOOKUP(SAISIE!$R11,REF_COUNTRIES!$A:$B,2,FALSE),"")</f>
        <v/>
      </c>
      <c r="S11" s="5" t="str">
        <f>IFERROR(VLOOKUP(SAISIE!$S11,REF_COUNTRIES!$A:$B,2,FALSE),"")</f>
        <v>VN</v>
      </c>
      <c r="T11" s="5" t="str">
        <f>IFERROR(VLOOKUP(SAISIE!$T11,REF_COUNTRIES!$A:$B,2,FALSE),"")</f>
        <v>MM</v>
      </c>
      <c r="U11" s="5" t="str">
        <f>IFERROR(VLOOKUP(SAISIE!$U11,REF_COUNTRIES!$A:$B,2,FALSE),"")</f>
        <v>CN</v>
      </c>
      <c r="V11" s="5" t="str">
        <f>IFERROR(VLOOKUP(SAISIE!$V11,REF_COUNTRIES!$A:$B,2,FALSE),"")</f>
        <v>RLA</v>
      </c>
    </row>
    <row r="12" spans="1:22" x14ac:dyDescent="0.25">
      <c r="A12" s="5" t="str">
        <f>SAISIE!$A12</f>
        <v>Produit Test 011 - Pull</v>
      </c>
      <c r="B12" s="5" t="str">
        <f>IFERROR(VLOOKUP(SAISIE!$B12,REF_PRODUCTS!$A:$B,2,FALSE),"")</f>
        <v>pull</v>
      </c>
      <c r="C12" s="5">
        <f>SAISIE!$C12</f>
        <v>0.3</v>
      </c>
      <c r="D12" s="5" t="str">
        <f>IFERROR(VLOOKUP(SAISIE!$D12,REF_MATERIALS!$A:$B,2,FALSE),"")</f>
        <v>a09b2677-2900-4417-a202-e5f9a1abcce1</v>
      </c>
      <c r="E12" s="5">
        <f>SAISIE!$E12</f>
        <v>1</v>
      </c>
      <c r="F12" s="5" t="str">
        <f>IFERROR(VLOOKUP(SAISIE!$F12,REF_COUNTRIES!$A:$B,2,FALSE),"")</f>
        <v>---</v>
      </c>
      <c r="G12" s="5" t="str">
        <f>IFERROR(VLOOKUP(SAISIE!$G12,REF_MATERIALS!$A:$B,2,FALSE),"")</f>
        <v/>
      </c>
      <c r="H12" s="5">
        <f>SAISIE!$H12</f>
        <v>0</v>
      </c>
      <c r="I12" s="5" t="str">
        <f>IFERROR(VLOOKUP(SAISIE!$I12,REF_COUNTRIES!$A:$B,2,FALSE),"")</f>
        <v/>
      </c>
      <c r="J12" s="5" t="str">
        <f>IFERROR(VLOOKUP(SAISIE!$J12,REF_MATERIALS!$A:$B,2,FALSE),"")</f>
        <v/>
      </c>
      <c r="K12" s="5">
        <f>SAISIE!$K12</f>
        <v>0</v>
      </c>
      <c r="L12" s="5" t="str">
        <f>IFERROR(VLOOKUP(SAISIE!$L12,REF_COUNTRIES!$A:$B,2,FALSE),"")</f>
        <v/>
      </c>
      <c r="M12" s="5" t="str">
        <f>IFERROR(VLOOKUP(SAISIE!$M12,REF_MATERIALS!$A:$B,2,FALSE),"")</f>
        <v/>
      </c>
      <c r="N12" s="5">
        <f>SAISIE!$N12</f>
        <v>0</v>
      </c>
      <c r="O12" s="5" t="str">
        <f>IFERROR(VLOOKUP(SAISIE!$O12,REF_COUNTRIES!$A:$B,2,FALSE),"")</f>
        <v/>
      </c>
      <c r="P12" s="5" t="str">
        <f>IFERROR(VLOOKUP(SAISIE!$P12,REF_MATERIALS!$A:$B,2,FALSE),"")</f>
        <v/>
      </c>
      <c r="Q12" s="5">
        <f>SAISIE!$Q12</f>
        <v>0</v>
      </c>
      <c r="R12" s="5" t="str">
        <f>IFERROR(VLOOKUP(SAISIE!$R12,REF_COUNTRIES!$A:$B,2,FALSE),"")</f>
        <v/>
      </c>
      <c r="S12" s="5" t="str">
        <f>IFERROR(VLOOKUP(SAISIE!$S12,REF_COUNTRIES!$A:$B,2,FALSE),"")</f>
        <v>ROC</v>
      </c>
      <c r="T12" s="5" t="str">
        <f>IFERROR(VLOOKUP(SAISIE!$T12,REF_COUNTRIES!$A:$B,2,FALSE),"")</f>
        <v>RME</v>
      </c>
      <c r="U12" s="5" t="str">
        <f>IFERROR(VLOOKUP(SAISIE!$U12,REF_COUNTRIES!$A:$B,2,FALSE),"")</f>
        <v>RAS</v>
      </c>
      <c r="V12" s="5" t="str">
        <f>IFERROR(VLOOKUP(SAISIE!$V12,REF_COUNTRIES!$A:$B,2,FALSE),"")</f>
        <v>PK</v>
      </c>
    </row>
    <row r="13" spans="1:22" x14ac:dyDescent="0.25">
      <c r="A13" s="5" t="str">
        <f>SAISIE!$A13</f>
        <v>Produit Test 012 - Maillot de bain</v>
      </c>
      <c r="B13" s="5" t="str">
        <f>IFERROR(VLOOKUP(SAISIE!$B13,REF_PRODUCTS!$A:$B,2,FALSE),"")</f>
        <v>maillot-de-bain</v>
      </c>
      <c r="C13" s="5">
        <f>SAISIE!$C13</f>
        <v>0.22</v>
      </c>
      <c r="D13" s="5" t="str">
        <f>IFERROR(VLOOKUP(SAISIE!$D13,REF_MATERIALS!$A:$B,2,FALSE),"")</f>
        <v>72e29a61-52a9-4eb5-b3fc-5fb87edea041</v>
      </c>
      <c r="E13" s="5">
        <f>SAISIE!$E13</f>
        <v>1</v>
      </c>
      <c r="F13" s="5" t="str">
        <f>IFERROR(VLOOKUP(SAISIE!$F13,REF_COUNTRIES!$A:$B,2,FALSE),"")</f>
        <v>KH</v>
      </c>
      <c r="G13" s="5" t="str">
        <f>IFERROR(VLOOKUP(SAISIE!$G13,REF_MATERIALS!$A:$B,2,FALSE),"")</f>
        <v/>
      </c>
      <c r="H13" s="5">
        <f>SAISIE!$H13</f>
        <v>0</v>
      </c>
      <c r="I13" s="5" t="str">
        <f>IFERROR(VLOOKUP(SAISIE!$I13,REF_COUNTRIES!$A:$B,2,FALSE),"")</f>
        <v/>
      </c>
      <c r="J13" s="5" t="str">
        <f>IFERROR(VLOOKUP(SAISIE!$J13,REF_MATERIALS!$A:$B,2,FALSE),"")</f>
        <v/>
      </c>
      <c r="K13" s="5">
        <f>SAISIE!$K13</f>
        <v>0</v>
      </c>
      <c r="L13" s="5" t="str">
        <f>IFERROR(VLOOKUP(SAISIE!$L13,REF_COUNTRIES!$A:$B,2,FALSE),"")</f>
        <v/>
      </c>
      <c r="M13" s="5" t="str">
        <f>IFERROR(VLOOKUP(SAISIE!$M13,REF_MATERIALS!$A:$B,2,FALSE),"")</f>
        <v/>
      </c>
      <c r="N13" s="5">
        <f>SAISIE!$N13</f>
        <v>0</v>
      </c>
      <c r="O13" s="5" t="str">
        <f>IFERROR(VLOOKUP(SAISIE!$O13,REF_COUNTRIES!$A:$B,2,FALSE),"")</f>
        <v/>
      </c>
      <c r="P13" s="5" t="str">
        <f>IFERROR(VLOOKUP(SAISIE!$P13,REF_MATERIALS!$A:$B,2,FALSE),"")</f>
        <v/>
      </c>
      <c r="Q13" s="5">
        <f>SAISIE!$Q13</f>
        <v>0</v>
      </c>
      <c r="R13" s="5" t="str">
        <f>IFERROR(VLOOKUP(SAISIE!$R13,REF_COUNTRIES!$A:$B,2,FALSE),"")</f>
        <v/>
      </c>
      <c r="S13" s="5" t="str">
        <f>IFERROR(VLOOKUP(SAISIE!$S13,REF_COUNTRIES!$A:$B,2,FALSE),"")</f>
        <v>TN</v>
      </c>
      <c r="T13" s="5" t="str">
        <f>IFERROR(VLOOKUP(SAISIE!$T13,REF_COUNTRIES!$A:$B,2,FALSE),"")</f>
        <v>RNA</v>
      </c>
      <c r="U13" s="5" t="str">
        <f>IFERROR(VLOOKUP(SAISIE!$U13,REF_COUNTRIES!$A:$B,2,FALSE),"")</f>
        <v>RME</v>
      </c>
      <c r="V13" s="5" t="str">
        <f>IFERROR(VLOOKUP(SAISIE!$V13,REF_COUNTRIES!$A:$B,2,FALSE),"")</f>
        <v>RAS</v>
      </c>
    </row>
    <row r="14" spans="1:22" x14ac:dyDescent="0.25">
      <c r="A14" s="5" t="str">
        <f>SAISIE!$A14</f>
        <v>Produit Test 013 - Caleçon (tissé)</v>
      </c>
      <c r="B14" s="5" t="str">
        <f>IFERROR(VLOOKUP(SAISIE!$B14,REF_PRODUCTS!$A:$B,2,FALSE),"")</f>
        <v>calecon</v>
      </c>
      <c r="C14" s="5">
        <f>SAISIE!$C14</f>
        <v>0.5</v>
      </c>
      <c r="D14" s="5" t="str">
        <f>IFERROR(VLOOKUP(SAISIE!$D14,REF_MATERIALS!$A:$B,2,FALSE),"")</f>
        <v>c84280ff-e921-4d5c-92d6-51030bf4f74e</v>
      </c>
      <c r="E14" s="5">
        <f>SAISIE!$E14</f>
        <v>0.87</v>
      </c>
      <c r="F14" s="5" t="str">
        <f>IFERROR(VLOOKUP(SAISIE!$F14,REF_COUNTRIES!$A:$B,2,FALSE),"")</f>
        <v>KH</v>
      </c>
      <c r="G14" s="5" t="str">
        <f>IFERROR(VLOOKUP(SAISIE!$G14,REF_MATERIALS!$A:$B,2,FALSE),"")</f>
        <v>62a4d6fb-3276-4ba5-93a3-889ecd3bff84</v>
      </c>
      <c r="H14" s="5">
        <f>SAISIE!$H14</f>
        <v>0.13</v>
      </c>
      <c r="I14" s="5" t="str">
        <f>IFERROR(VLOOKUP(SAISIE!$I14,REF_COUNTRIES!$A:$B,2,FALSE),"")</f>
        <v>FR</v>
      </c>
      <c r="J14" s="5" t="str">
        <f>IFERROR(VLOOKUP(SAISIE!$J14,REF_MATERIALS!$A:$B,2,FALSE),"")</f>
        <v/>
      </c>
      <c r="K14" s="5">
        <f>SAISIE!$K14</f>
        <v>0</v>
      </c>
      <c r="L14" s="5" t="str">
        <f>IFERROR(VLOOKUP(SAISIE!$L14,REF_COUNTRIES!$A:$B,2,FALSE),"")</f>
        <v/>
      </c>
      <c r="M14" s="5" t="str">
        <f>IFERROR(VLOOKUP(SAISIE!$M14,REF_MATERIALS!$A:$B,2,FALSE),"")</f>
        <v/>
      </c>
      <c r="N14" s="5">
        <f>SAISIE!$N14</f>
        <v>0</v>
      </c>
      <c r="O14" s="5" t="str">
        <f>IFERROR(VLOOKUP(SAISIE!$O14,REF_COUNTRIES!$A:$B,2,FALSE),"")</f>
        <v/>
      </c>
      <c r="P14" s="5" t="str">
        <f>IFERROR(VLOOKUP(SAISIE!$P14,REF_MATERIALS!$A:$B,2,FALSE),"")</f>
        <v/>
      </c>
      <c r="Q14" s="5">
        <f>SAISIE!$Q14</f>
        <v>0</v>
      </c>
      <c r="R14" s="5" t="str">
        <f>IFERROR(VLOOKUP(SAISIE!$R14,REF_COUNTRIES!$A:$B,2,FALSE),"")</f>
        <v/>
      </c>
      <c r="S14" s="5" t="str">
        <f>IFERROR(VLOOKUP(SAISIE!$S14,REF_COUNTRIES!$A:$B,2,FALSE),"")</f>
        <v>IN</v>
      </c>
      <c r="T14" s="5" t="str">
        <f>IFERROR(VLOOKUP(SAISIE!$T14,REF_COUNTRIES!$A:$B,2,FALSE),"")</f>
        <v>MM</v>
      </c>
      <c r="U14" s="5" t="str">
        <f>IFERROR(VLOOKUP(SAISIE!$U14,REF_COUNTRIES!$A:$B,2,FALSE),"")</f>
        <v>MM</v>
      </c>
      <c r="V14" s="5" t="str">
        <f>IFERROR(VLOOKUP(SAISIE!$V14,REF_COUNTRIES!$A:$B,2,FALSE),"")</f>
        <v>REE</v>
      </c>
    </row>
    <row r="15" spans="1:22" x14ac:dyDescent="0.25">
      <c r="A15" s="5" t="str">
        <f>SAISIE!$A15</f>
        <v>Produit Test 014 - Boxer / Slip (tricoté)</v>
      </c>
      <c r="B15" s="5" t="str">
        <f>IFERROR(VLOOKUP(SAISIE!$B15,REF_PRODUCTS!$A:$B,2,FALSE),"")</f>
        <v>slip</v>
      </c>
      <c r="C15" s="5">
        <f>SAISIE!$C15</f>
        <v>0.28999999999999998</v>
      </c>
      <c r="D15" s="5" t="str">
        <f>IFERROR(VLOOKUP(SAISIE!$D15,REF_MATERIALS!$A:$B,2,FALSE),"")</f>
        <v>9973088b-c929-4cc5-894a-1e4d28c161d4</v>
      </c>
      <c r="E15" s="5">
        <f>SAISIE!$E15</f>
        <v>0.66</v>
      </c>
      <c r="F15" s="5" t="str">
        <f>IFERROR(VLOOKUP(SAISIE!$F15,REF_COUNTRIES!$A:$B,2,FALSE),"")</f>
        <v>REO</v>
      </c>
      <c r="G15" s="5" t="str">
        <f>IFERROR(VLOOKUP(SAISIE!$G15,REF_MATERIALS!$A:$B,2,FALSE),"")</f>
        <v>62a4d6fb-3276-4ba5-93a3-889ecd3bff84</v>
      </c>
      <c r="H15" s="5">
        <f>SAISIE!$H15</f>
        <v>0.34</v>
      </c>
      <c r="I15" s="5" t="str">
        <f>IFERROR(VLOOKUP(SAISIE!$I15,REF_COUNTRIES!$A:$B,2,FALSE),"")</f>
        <v>FR</v>
      </c>
      <c r="J15" s="5" t="str">
        <f>IFERROR(VLOOKUP(SAISIE!$J15,REF_MATERIALS!$A:$B,2,FALSE),"")</f>
        <v/>
      </c>
      <c r="K15" s="5">
        <f>SAISIE!$K15</f>
        <v>0</v>
      </c>
      <c r="L15" s="5" t="str">
        <f>IFERROR(VLOOKUP(SAISIE!$L15,REF_COUNTRIES!$A:$B,2,FALSE),"")</f>
        <v/>
      </c>
      <c r="M15" s="5" t="str">
        <f>IFERROR(VLOOKUP(SAISIE!$M15,REF_MATERIALS!$A:$B,2,FALSE),"")</f>
        <v/>
      </c>
      <c r="N15" s="5">
        <f>SAISIE!$N15</f>
        <v>0</v>
      </c>
      <c r="O15" s="5" t="str">
        <f>IFERROR(VLOOKUP(SAISIE!$O15,REF_COUNTRIES!$A:$B,2,FALSE),"")</f>
        <v/>
      </c>
      <c r="P15" s="5" t="str">
        <f>IFERROR(VLOOKUP(SAISIE!$P15,REF_MATERIALS!$A:$B,2,FALSE),"")</f>
        <v/>
      </c>
      <c r="Q15" s="5">
        <f>SAISIE!$Q15</f>
        <v>0</v>
      </c>
      <c r="R15" s="5" t="str">
        <f>IFERROR(VLOOKUP(SAISIE!$R15,REF_COUNTRIES!$A:$B,2,FALSE),"")</f>
        <v/>
      </c>
      <c r="S15" s="5" t="str">
        <f>IFERROR(VLOOKUP(SAISIE!$S15,REF_COUNTRIES!$A:$B,2,FALSE),"")</f>
        <v>RAS</v>
      </c>
      <c r="T15" s="5" t="str">
        <f>IFERROR(VLOOKUP(SAISIE!$T15,REF_COUNTRIES!$A:$B,2,FALSE),"")</f>
        <v>RNA</v>
      </c>
      <c r="U15" s="5" t="str">
        <f>IFERROR(VLOOKUP(SAISIE!$U15,REF_COUNTRIES!$A:$B,2,FALSE),"")</f>
        <v>VN</v>
      </c>
      <c r="V15" s="5" t="str">
        <f>IFERROR(VLOOKUP(SAISIE!$V15,REF_COUNTRIES!$A:$B,2,FALSE),"")</f>
        <v>RLA</v>
      </c>
    </row>
    <row r="16" spans="1:22" x14ac:dyDescent="0.25">
      <c r="A16" s="5" t="str">
        <f>SAISIE!$A16</f>
        <v>Produit Test 015 - Pull</v>
      </c>
      <c r="B16" s="5" t="str">
        <f>IFERROR(VLOOKUP(SAISIE!$B16,REF_PRODUCTS!$A:$B,2,FALSE),"")</f>
        <v>pull</v>
      </c>
      <c r="C16" s="5">
        <f>SAISIE!$C16</f>
        <v>0.37</v>
      </c>
      <c r="D16" s="5" t="str">
        <f>IFERROR(VLOOKUP(SAISIE!$D16,REF_MATERIALS!$A:$B,2,FALSE),"")</f>
        <v>9973088b-c929-4cc5-894a-1e4d28c161d4</v>
      </c>
      <c r="E16" s="5">
        <f>SAISIE!$E16</f>
        <v>1</v>
      </c>
      <c r="F16" s="5" t="str">
        <f>IFERROR(VLOOKUP(SAISIE!$F16,REF_COUNTRIES!$A:$B,2,FALSE),"")</f>
        <v>PK</v>
      </c>
      <c r="G16" s="5" t="str">
        <f>IFERROR(VLOOKUP(SAISIE!$G16,REF_MATERIALS!$A:$B,2,FALSE),"")</f>
        <v/>
      </c>
      <c r="H16" s="5">
        <f>SAISIE!$H16</f>
        <v>0</v>
      </c>
      <c r="I16" s="5" t="str">
        <f>IFERROR(VLOOKUP(SAISIE!$I16,REF_COUNTRIES!$A:$B,2,FALSE),"")</f>
        <v/>
      </c>
      <c r="J16" s="5" t="str">
        <f>IFERROR(VLOOKUP(SAISIE!$J16,REF_MATERIALS!$A:$B,2,FALSE),"")</f>
        <v/>
      </c>
      <c r="K16" s="5">
        <f>SAISIE!$K16</f>
        <v>0</v>
      </c>
      <c r="L16" s="5" t="str">
        <f>IFERROR(VLOOKUP(SAISIE!$L16,REF_COUNTRIES!$A:$B,2,FALSE),"")</f>
        <v/>
      </c>
      <c r="M16" s="5" t="str">
        <f>IFERROR(VLOOKUP(SAISIE!$M16,REF_MATERIALS!$A:$B,2,FALSE),"")</f>
        <v/>
      </c>
      <c r="N16" s="5">
        <f>SAISIE!$N16</f>
        <v>0</v>
      </c>
      <c r="O16" s="5" t="str">
        <f>IFERROR(VLOOKUP(SAISIE!$O16,REF_COUNTRIES!$A:$B,2,FALSE),"")</f>
        <v/>
      </c>
      <c r="P16" s="5" t="str">
        <f>IFERROR(VLOOKUP(SAISIE!$P16,REF_MATERIALS!$A:$B,2,FALSE),"")</f>
        <v/>
      </c>
      <c r="Q16" s="5">
        <f>SAISIE!$Q16</f>
        <v>0</v>
      </c>
      <c r="R16" s="5" t="str">
        <f>IFERROR(VLOOKUP(SAISIE!$R16,REF_COUNTRIES!$A:$B,2,FALSE),"")</f>
        <v/>
      </c>
      <c r="S16" s="5" t="str">
        <f>IFERROR(VLOOKUP(SAISIE!$S16,REF_COUNTRIES!$A:$B,2,FALSE),"")</f>
        <v>VN</v>
      </c>
      <c r="T16" s="5" t="str">
        <f>IFERROR(VLOOKUP(SAISIE!$T16,REF_COUNTRIES!$A:$B,2,FALSE),"")</f>
        <v>RNA</v>
      </c>
      <c r="U16" s="5" t="str">
        <f>IFERROR(VLOOKUP(SAISIE!$U16,REF_COUNTRIES!$A:$B,2,FALSE),"")</f>
        <v>---</v>
      </c>
      <c r="V16" s="5" t="str">
        <f>IFERROR(VLOOKUP(SAISIE!$V16,REF_COUNTRIES!$A:$B,2,FALSE),"")</f>
        <v>MA</v>
      </c>
    </row>
    <row r="17" spans="1:22" x14ac:dyDescent="0.25">
      <c r="A17" s="5" t="str">
        <f>SAISIE!$A17</f>
        <v>Produit Test 016 - Jupe / Robe</v>
      </c>
      <c r="B17" s="5" t="str">
        <f>IFERROR(VLOOKUP(SAISIE!$B17,REF_PRODUCTS!$A:$B,2,FALSE),"")</f>
        <v>jupe</v>
      </c>
      <c r="C17" s="5">
        <f>SAISIE!$C17</f>
        <v>0.33</v>
      </c>
      <c r="D17" s="5" t="str">
        <f>IFERROR(VLOOKUP(SAISIE!$D17,REF_MATERIALS!$A:$B,2,FALSE),"")</f>
        <v>d3d20384-88fb-4c75-ac12-c647365ac6c5</v>
      </c>
      <c r="E17" s="5">
        <f>SAISIE!$E17</f>
        <v>0.79</v>
      </c>
      <c r="F17" s="5" t="str">
        <f>IFERROR(VLOOKUP(SAISIE!$F17,REF_COUNTRIES!$A:$B,2,FALSE),"")</f>
        <v>---</v>
      </c>
      <c r="G17" s="5" t="str">
        <f>IFERROR(VLOOKUP(SAISIE!$G17,REF_MATERIALS!$A:$B,2,FALSE),"")</f>
        <v>457e9b0d-9eda-4dca-b199-deeb0a154fa9</v>
      </c>
      <c r="H17" s="5">
        <f>SAISIE!$H17</f>
        <v>0.21</v>
      </c>
      <c r="I17" s="5" t="str">
        <f>IFERROR(VLOOKUP(SAISIE!$I17,REF_COUNTRIES!$A:$B,2,FALSE),"")</f>
        <v>---</v>
      </c>
      <c r="J17" s="5" t="str">
        <f>IFERROR(VLOOKUP(SAISIE!$J17,REF_MATERIALS!$A:$B,2,FALSE),"")</f>
        <v/>
      </c>
      <c r="K17" s="5">
        <f>SAISIE!$K17</f>
        <v>0</v>
      </c>
      <c r="L17" s="5" t="str">
        <f>IFERROR(VLOOKUP(SAISIE!$L17,REF_COUNTRIES!$A:$B,2,FALSE),"")</f>
        <v/>
      </c>
      <c r="M17" s="5" t="str">
        <f>IFERROR(VLOOKUP(SAISIE!$M17,REF_MATERIALS!$A:$B,2,FALSE),"")</f>
        <v/>
      </c>
      <c r="N17" s="5">
        <f>SAISIE!$N17</f>
        <v>0</v>
      </c>
      <c r="O17" s="5" t="str">
        <f>IFERROR(VLOOKUP(SAISIE!$O17,REF_COUNTRIES!$A:$B,2,FALSE),"")</f>
        <v/>
      </c>
      <c r="P17" s="5" t="str">
        <f>IFERROR(VLOOKUP(SAISIE!$P17,REF_MATERIALS!$A:$B,2,FALSE),"")</f>
        <v/>
      </c>
      <c r="Q17" s="5">
        <f>SAISIE!$Q17</f>
        <v>0</v>
      </c>
      <c r="R17" s="5" t="str">
        <f>IFERROR(VLOOKUP(SAISIE!$R17,REF_COUNTRIES!$A:$B,2,FALSE),"")</f>
        <v/>
      </c>
      <c r="S17" s="5" t="str">
        <f>IFERROR(VLOOKUP(SAISIE!$S17,REF_COUNTRIES!$A:$B,2,FALSE),"")</f>
        <v>RNA</v>
      </c>
      <c r="T17" s="5" t="str">
        <f>IFERROR(VLOOKUP(SAISIE!$T17,REF_COUNTRIES!$A:$B,2,FALSE),"")</f>
        <v>CN</v>
      </c>
      <c r="U17" s="5" t="str">
        <f>IFERROR(VLOOKUP(SAISIE!$U17,REF_COUNTRIES!$A:$B,2,FALSE),"")</f>
        <v>ROC</v>
      </c>
      <c r="V17" s="5" t="str">
        <f>IFERROR(VLOOKUP(SAISIE!$V17,REF_COUNTRIES!$A:$B,2,FALSE),"")</f>
        <v>ROC</v>
      </c>
    </row>
    <row r="18" spans="1:22" x14ac:dyDescent="0.25">
      <c r="A18" s="5" t="str">
        <f>SAISIE!$A18</f>
        <v>Produit Test 017 - Jean</v>
      </c>
      <c r="B18" s="5" t="str">
        <f>IFERROR(VLOOKUP(SAISIE!$B18,REF_PRODUCTS!$A:$B,2,FALSE),"")</f>
        <v>jean</v>
      </c>
      <c r="C18" s="5">
        <f>SAISIE!$C18</f>
        <v>0.73</v>
      </c>
      <c r="D18" s="5" t="str">
        <f>IFERROR(VLOOKUP(SAISIE!$D18,REF_MATERIALS!$A:$B,2,FALSE),"")</f>
        <v>c087d394-5901-4b03-ba7a-7d4b0db0490c</v>
      </c>
      <c r="E18" s="5">
        <f>SAISIE!$E18</f>
        <v>0.78</v>
      </c>
      <c r="F18" s="5" t="str">
        <f>IFERROR(VLOOKUP(SAISIE!$F18,REF_COUNTRIES!$A:$B,2,FALSE),"")</f>
        <v>REO</v>
      </c>
      <c r="G18" s="5" t="str">
        <f>IFERROR(VLOOKUP(SAISIE!$G18,REF_MATERIALS!$A:$B,2,FALSE),"")</f>
        <v>c84280ff-e921-4d5c-92d6-51030bf4f74e</v>
      </c>
      <c r="H18" s="5">
        <f>SAISIE!$H18</f>
        <v>0.22</v>
      </c>
      <c r="I18" s="5" t="str">
        <f>IFERROR(VLOOKUP(SAISIE!$I18,REF_COUNTRIES!$A:$B,2,FALSE),"")</f>
        <v>CN</v>
      </c>
      <c r="J18" s="5" t="str">
        <f>IFERROR(VLOOKUP(SAISIE!$J18,REF_MATERIALS!$A:$B,2,FALSE),"")</f>
        <v/>
      </c>
      <c r="K18" s="5">
        <f>SAISIE!$K18</f>
        <v>0</v>
      </c>
      <c r="L18" s="5" t="str">
        <f>IFERROR(VLOOKUP(SAISIE!$L18,REF_COUNTRIES!$A:$B,2,FALSE),"")</f>
        <v/>
      </c>
      <c r="M18" s="5" t="str">
        <f>IFERROR(VLOOKUP(SAISIE!$M18,REF_MATERIALS!$A:$B,2,FALSE),"")</f>
        <v/>
      </c>
      <c r="N18" s="5">
        <f>SAISIE!$N18</f>
        <v>0</v>
      </c>
      <c r="O18" s="5" t="str">
        <f>IFERROR(VLOOKUP(SAISIE!$O18,REF_COUNTRIES!$A:$B,2,FALSE),"")</f>
        <v/>
      </c>
      <c r="P18" s="5" t="str">
        <f>IFERROR(VLOOKUP(SAISIE!$P18,REF_MATERIALS!$A:$B,2,FALSE),"")</f>
        <v/>
      </c>
      <c r="Q18" s="5">
        <f>SAISIE!$Q18</f>
        <v>0</v>
      </c>
      <c r="R18" s="5" t="str">
        <f>IFERROR(VLOOKUP(SAISIE!$R18,REF_COUNTRIES!$A:$B,2,FALSE),"")</f>
        <v/>
      </c>
      <c r="S18" s="5" t="str">
        <f>IFERROR(VLOOKUP(SAISIE!$S18,REF_COUNTRIES!$A:$B,2,FALSE),"")</f>
        <v>---</v>
      </c>
      <c r="T18" s="5" t="str">
        <f>IFERROR(VLOOKUP(SAISIE!$T18,REF_COUNTRIES!$A:$B,2,FALSE),"")</f>
        <v>BD</v>
      </c>
      <c r="U18" s="5" t="str">
        <f>IFERROR(VLOOKUP(SAISIE!$U18,REF_COUNTRIES!$A:$B,2,FALSE),"")</f>
        <v>---</v>
      </c>
      <c r="V18" s="5" t="str">
        <f>IFERROR(VLOOKUP(SAISIE!$V18,REF_COUNTRIES!$A:$B,2,FALSE),"")</f>
        <v>REE</v>
      </c>
    </row>
    <row r="19" spans="1:22" x14ac:dyDescent="0.25">
      <c r="A19" s="5" t="str">
        <f>SAISIE!$A19</f>
        <v>Produit Test 018 - Chaussettes</v>
      </c>
      <c r="B19" s="5" t="str">
        <f>IFERROR(VLOOKUP(SAISIE!$B19,REF_PRODUCTS!$A:$B,2,FALSE),"")</f>
        <v>chaussettes</v>
      </c>
      <c r="C19" s="5">
        <f>SAISIE!$C19</f>
        <v>0.1</v>
      </c>
      <c r="D19" s="5" t="str">
        <f>IFERROR(VLOOKUP(SAISIE!$D19,REF_MATERIALS!$A:$B,2,FALSE),"")</f>
        <v>8f44c680-1263-4588-b79b-a9e4dc3d8de4</v>
      </c>
      <c r="E19" s="5">
        <f>SAISIE!$E19</f>
        <v>0.83</v>
      </c>
      <c r="F19" s="5" t="str">
        <f>IFERROR(VLOOKUP(SAISIE!$F19,REF_COUNTRIES!$A:$B,2,FALSE),"")</f>
        <v>TR</v>
      </c>
      <c r="G19" s="5" t="str">
        <f>IFERROR(VLOOKUP(SAISIE!$G19,REF_MATERIALS!$A:$B,2,FALSE),"")</f>
        <v>0c1a4654-b030-4fe1-86b7-d96ce0b85bb8</v>
      </c>
      <c r="H19" s="5">
        <f>SAISIE!$H19</f>
        <v>0.17</v>
      </c>
      <c r="I19" s="5" t="str">
        <f>IFERROR(VLOOKUP(SAISIE!$I19,REF_COUNTRIES!$A:$B,2,FALSE),"")</f>
        <v>CN</v>
      </c>
      <c r="J19" s="5" t="str">
        <f>IFERROR(VLOOKUP(SAISIE!$J19,REF_MATERIALS!$A:$B,2,FALSE),"")</f>
        <v/>
      </c>
      <c r="K19" s="5">
        <f>SAISIE!$K19</f>
        <v>0</v>
      </c>
      <c r="L19" s="5" t="str">
        <f>IFERROR(VLOOKUP(SAISIE!$L19,REF_COUNTRIES!$A:$B,2,FALSE),"")</f>
        <v/>
      </c>
      <c r="M19" s="5" t="str">
        <f>IFERROR(VLOOKUP(SAISIE!$M19,REF_MATERIALS!$A:$B,2,FALSE),"")</f>
        <v/>
      </c>
      <c r="N19" s="5">
        <f>SAISIE!$N19</f>
        <v>0</v>
      </c>
      <c r="O19" s="5" t="str">
        <f>IFERROR(VLOOKUP(SAISIE!$O19,REF_COUNTRIES!$A:$B,2,FALSE),"")</f>
        <v/>
      </c>
      <c r="P19" s="5" t="str">
        <f>IFERROR(VLOOKUP(SAISIE!$P19,REF_MATERIALS!$A:$B,2,FALSE),"")</f>
        <v/>
      </c>
      <c r="Q19" s="5">
        <f>SAISIE!$Q19</f>
        <v>0</v>
      </c>
      <c r="R19" s="5" t="str">
        <f>IFERROR(VLOOKUP(SAISIE!$R19,REF_COUNTRIES!$A:$B,2,FALSE),"")</f>
        <v/>
      </c>
      <c r="S19" s="5" t="str">
        <f>IFERROR(VLOOKUP(SAISIE!$S19,REF_COUNTRIES!$A:$B,2,FALSE),"")</f>
        <v>RME</v>
      </c>
      <c r="T19" s="5" t="str">
        <f>IFERROR(VLOOKUP(SAISIE!$T19,REF_COUNTRIES!$A:$B,2,FALSE),"")</f>
        <v>MM</v>
      </c>
      <c r="U19" s="5" t="str">
        <f>IFERROR(VLOOKUP(SAISIE!$U19,REF_COUNTRIES!$A:$B,2,FALSE),"")</f>
        <v>ROC</v>
      </c>
      <c r="V19" s="5" t="str">
        <f>IFERROR(VLOOKUP(SAISIE!$V19,REF_COUNTRIES!$A:$B,2,FALSE),"")</f>
        <v>FR</v>
      </c>
    </row>
    <row r="20" spans="1:22" x14ac:dyDescent="0.25">
      <c r="A20" s="5" t="str">
        <f>SAISIE!$A20</f>
        <v>Produit Test 019 - Manteau / Veste</v>
      </c>
      <c r="B20" s="5" t="str">
        <f>IFERROR(VLOOKUP(SAISIE!$B20,REF_PRODUCTS!$A:$B,2,FALSE),"")</f>
        <v>manteau</v>
      </c>
      <c r="C20" s="5">
        <f>SAISIE!$C20</f>
        <v>0.37</v>
      </c>
      <c r="D20" s="5" t="str">
        <f>IFERROR(VLOOKUP(SAISIE!$D20,REF_MATERIALS!$A:$B,2,FALSE),"")</f>
        <v>457e9b0d-9eda-4dca-b199-deeb0a154fa9</v>
      </c>
      <c r="E20" s="5">
        <f>SAISIE!$E20</f>
        <v>1</v>
      </c>
      <c r="F20" s="5" t="str">
        <f>IFERROR(VLOOKUP(SAISIE!$F20,REF_COUNTRIES!$A:$B,2,FALSE),"")</f>
        <v>TN</v>
      </c>
      <c r="G20" s="5" t="str">
        <f>IFERROR(VLOOKUP(SAISIE!$G20,REF_MATERIALS!$A:$B,2,FALSE),"")</f>
        <v/>
      </c>
      <c r="H20" s="5">
        <f>SAISIE!$H20</f>
        <v>0</v>
      </c>
      <c r="I20" s="5" t="str">
        <f>IFERROR(VLOOKUP(SAISIE!$I20,REF_COUNTRIES!$A:$B,2,FALSE),"")</f>
        <v/>
      </c>
      <c r="J20" s="5" t="str">
        <f>IFERROR(VLOOKUP(SAISIE!$J20,REF_MATERIALS!$A:$B,2,FALSE),"")</f>
        <v/>
      </c>
      <c r="K20" s="5">
        <f>SAISIE!$K20</f>
        <v>0</v>
      </c>
      <c r="L20" s="5" t="str">
        <f>IFERROR(VLOOKUP(SAISIE!$L20,REF_COUNTRIES!$A:$B,2,FALSE),"")</f>
        <v/>
      </c>
      <c r="M20" s="5" t="str">
        <f>IFERROR(VLOOKUP(SAISIE!$M20,REF_MATERIALS!$A:$B,2,FALSE),"")</f>
        <v/>
      </c>
      <c r="N20" s="5">
        <f>SAISIE!$N20</f>
        <v>0</v>
      </c>
      <c r="O20" s="5" t="str">
        <f>IFERROR(VLOOKUP(SAISIE!$O20,REF_COUNTRIES!$A:$B,2,FALSE),"")</f>
        <v/>
      </c>
      <c r="P20" s="5" t="str">
        <f>IFERROR(VLOOKUP(SAISIE!$P20,REF_MATERIALS!$A:$B,2,FALSE),"")</f>
        <v/>
      </c>
      <c r="Q20" s="5">
        <f>SAISIE!$Q20</f>
        <v>0</v>
      </c>
      <c r="R20" s="5" t="str">
        <f>IFERROR(VLOOKUP(SAISIE!$R20,REF_COUNTRIES!$A:$B,2,FALSE),"")</f>
        <v/>
      </c>
      <c r="S20" s="5" t="str">
        <f>IFERROR(VLOOKUP(SAISIE!$S20,REF_COUNTRIES!$A:$B,2,FALSE),"")</f>
        <v>RNA</v>
      </c>
      <c r="T20" s="5" t="str">
        <f>IFERROR(VLOOKUP(SAISIE!$T20,REF_COUNTRIES!$A:$B,2,FALSE),"")</f>
        <v>MM</v>
      </c>
      <c r="U20" s="5" t="str">
        <f>IFERROR(VLOOKUP(SAISIE!$U20,REF_COUNTRIES!$A:$B,2,FALSE),"")</f>
        <v>RAF</v>
      </c>
      <c r="V20" s="5" t="str">
        <f>IFERROR(VLOOKUP(SAISIE!$V20,REF_COUNTRIES!$A:$B,2,FALSE),"")</f>
        <v>VN</v>
      </c>
    </row>
    <row r="21" spans="1:22" x14ac:dyDescent="0.25">
      <c r="A21" s="5" t="str">
        <f>SAISIE!$A21</f>
        <v>Produit Test 020 - Manteau / Veste</v>
      </c>
      <c r="B21" s="5" t="str">
        <f>IFERROR(VLOOKUP(SAISIE!$B21,REF_PRODUCTS!$A:$B,2,FALSE),"")</f>
        <v>manteau</v>
      </c>
      <c r="C21" s="5">
        <f>SAISIE!$C21</f>
        <v>0.25</v>
      </c>
      <c r="D21" s="5" t="str">
        <f>IFERROR(VLOOKUP(SAISIE!$D21,REF_MATERIALS!$A:$B,2,FALSE),"")</f>
        <v>a52e486c-b67e-40af-8337-e8143cbf9076</v>
      </c>
      <c r="E21" s="5">
        <f>SAISIE!$E21</f>
        <v>1</v>
      </c>
      <c r="F21" s="5" t="str">
        <f>IFERROR(VLOOKUP(SAISIE!$F21,REF_COUNTRIES!$A:$B,2,FALSE),"")</f>
        <v>RAS</v>
      </c>
      <c r="G21" s="5" t="str">
        <f>IFERROR(VLOOKUP(SAISIE!$G21,REF_MATERIALS!$A:$B,2,FALSE),"")</f>
        <v/>
      </c>
      <c r="H21" s="5">
        <f>SAISIE!$H21</f>
        <v>0</v>
      </c>
      <c r="I21" s="5" t="str">
        <f>IFERROR(VLOOKUP(SAISIE!$I21,REF_COUNTRIES!$A:$B,2,FALSE),"")</f>
        <v/>
      </c>
      <c r="J21" s="5" t="str">
        <f>IFERROR(VLOOKUP(SAISIE!$J21,REF_MATERIALS!$A:$B,2,FALSE),"")</f>
        <v/>
      </c>
      <c r="K21" s="5">
        <f>SAISIE!$K21</f>
        <v>0</v>
      </c>
      <c r="L21" s="5" t="str">
        <f>IFERROR(VLOOKUP(SAISIE!$L21,REF_COUNTRIES!$A:$B,2,FALSE),"")</f>
        <v/>
      </c>
      <c r="M21" s="5" t="str">
        <f>IFERROR(VLOOKUP(SAISIE!$M21,REF_MATERIALS!$A:$B,2,FALSE),"")</f>
        <v/>
      </c>
      <c r="N21" s="5">
        <f>SAISIE!$N21</f>
        <v>0</v>
      </c>
      <c r="O21" s="5" t="str">
        <f>IFERROR(VLOOKUP(SAISIE!$O21,REF_COUNTRIES!$A:$B,2,FALSE),"")</f>
        <v/>
      </c>
      <c r="P21" s="5" t="str">
        <f>IFERROR(VLOOKUP(SAISIE!$P21,REF_MATERIALS!$A:$B,2,FALSE),"")</f>
        <v/>
      </c>
      <c r="Q21" s="5">
        <f>SAISIE!$Q21</f>
        <v>0</v>
      </c>
      <c r="R21" s="5" t="str">
        <f>IFERROR(VLOOKUP(SAISIE!$R21,REF_COUNTRIES!$A:$B,2,FALSE),"")</f>
        <v/>
      </c>
      <c r="S21" s="5" t="str">
        <f>IFERROR(VLOOKUP(SAISIE!$S21,REF_COUNTRIES!$A:$B,2,FALSE),"")</f>
        <v>TN</v>
      </c>
      <c r="T21" s="5" t="str">
        <f>IFERROR(VLOOKUP(SAISIE!$T21,REF_COUNTRIES!$A:$B,2,FALSE),"")</f>
        <v>TN</v>
      </c>
      <c r="U21" s="5" t="str">
        <f>IFERROR(VLOOKUP(SAISIE!$U21,REF_COUNTRIES!$A:$B,2,FALSE),"")</f>
        <v>REO</v>
      </c>
      <c r="V21" s="5" t="str">
        <f>IFERROR(VLOOKUP(SAISIE!$V21,REF_COUNTRIES!$A:$B,2,FALSE),"")</f>
        <v>PK</v>
      </c>
    </row>
    <row r="22" spans="1:22" x14ac:dyDescent="0.25">
      <c r="A22" s="5" t="str">
        <f>SAISIE!$A22</f>
        <v>Produit Test 021 - Pantalon / Short</v>
      </c>
      <c r="B22" s="5" t="str">
        <f>IFERROR(VLOOKUP(SAISIE!$B22,REF_PRODUCTS!$A:$B,2,FALSE),"")</f>
        <v>pantalon</v>
      </c>
      <c r="C22" s="5">
        <f>SAISIE!$C22</f>
        <v>0.42</v>
      </c>
      <c r="D22" s="5" t="str">
        <f>IFERROR(VLOOKUP(SAISIE!$D22,REF_MATERIALS!$A:$B,2,FALSE),"")</f>
        <v>c087d394-5901-4b03-ba7a-7d4b0db0490c</v>
      </c>
      <c r="E22" s="5">
        <f>SAISIE!$E22</f>
        <v>1</v>
      </c>
      <c r="F22" s="5" t="str">
        <f>IFERROR(VLOOKUP(SAISIE!$F22,REF_COUNTRIES!$A:$B,2,FALSE),"")</f>
        <v>TR</v>
      </c>
      <c r="G22" s="5" t="str">
        <f>IFERROR(VLOOKUP(SAISIE!$G22,REF_MATERIALS!$A:$B,2,FALSE),"")</f>
        <v/>
      </c>
      <c r="H22" s="5">
        <f>SAISIE!$H22</f>
        <v>0</v>
      </c>
      <c r="I22" s="5" t="str">
        <f>IFERROR(VLOOKUP(SAISIE!$I22,REF_COUNTRIES!$A:$B,2,FALSE),"")</f>
        <v/>
      </c>
      <c r="J22" s="5" t="str">
        <f>IFERROR(VLOOKUP(SAISIE!$J22,REF_MATERIALS!$A:$B,2,FALSE),"")</f>
        <v/>
      </c>
      <c r="K22" s="5">
        <f>SAISIE!$K22</f>
        <v>0</v>
      </c>
      <c r="L22" s="5" t="str">
        <f>IFERROR(VLOOKUP(SAISIE!$L22,REF_COUNTRIES!$A:$B,2,FALSE),"")</f>
        <v/>
      </c>
      <c r="M22" s="5" t="str">
        <f>IFERROR(VLOOKUP(SAISIE!$M22,REF_MATERIALS!$A:$B,2,FALSE),"")</f>
        <v/>
      </c>
      <c r="N22" s="5">
        <f>SAISIE!$N22</f>
        <v>0</v>
      </c>
      <c r="O22" s="5" t="str">
        <f>IFERROR(VLOOKUP(SAISIE!$O22,REF_COUNTRIES!$A:$B,2,FALSE),"")</f>
        <v/>
      </c>
      <c r="P22" s="5" t="str">
        <f>IFERROR(VLOOKUP(SAISIE!$P22,REF_MATERIALS!$A:$B,2,FALSE),"")</f>
        <v/>
      </c>
      <c r="Q22" s="5">
        <f>SAISIE!$Q22</f>
        <v>0</v>
      </c>
      <c r="R22" s="5" t="str">
        <f>IFERROR(VLOOKUP(SAISIE!$R22,REF_COUNTRIES!$A:$B,2,FALSE),"")</f>
        <v/>
      </c>
      <c r="S22" s="5" t="str">
        <f>IFERROR(VLOOKUP(SAISIE!$S22,REF_COUNTRIES!$A:$B,2,FALSE),"")</f>
        <v>RME</v>
      </c>
      <c r="T22" s="5" t="str">
        <f>IFERROR(VLOOKUP(SAISIE!$T22,REF_COUNTRIES!$A:$B,2,FALSE),"")</f>
        <v>REE</v>
      </c>
      <c r="U22" s="5" t="str">
        <f>IFERROR(VLOOKUP(SAISIE!$U22,REF_COUNTRIES!$A:$B,2,FALSE),"")</f>
        <v>RLA</v>
      </c>
      <c r="V22" s="5" t="str">
        <f>IFERROR(VLOOKUP(SAISIE!$V22,REF_COUNTRIES!$A:$B,2,FALSE),"")</f>
        <v>IN</v>
      </c>
    </row>
    <row r="23" spans="1:22" x14ac:dyDescent="0.25">
      <c r="A23" s="5" t="str">
        <f>SAISIE!$A23</f>
        <v>Produit Test 022 - Manteau / Veste</v>
      </c>
      <c r="B23" s="5" t="str">
        <f>IFERROR(VLOOKUP(SAISIE!$B23,REF_PRODUCTS!$A:$B,2,FALSE),"")</f>
        <v>manteau</v>
      </c>
      <c r="C23" s="5">
        <f>SAISIE!$C23</f>
        <v>0.48</v>
      </c>
      <c r="D23" s="5" t="str">
        <f>IFERROR(VLOOKUP(SAISIE!$D23,REF_MATERIALS!$A:$B,2,FALSE),"")</f>
        <v>d3d20384-88fb-4c75-ac12-c647365ac6c5</v>
      </c>
      <c r="E23" s="5">
        <f>SAISIE!$E23</f>
        <v>1</v>
      </c>
      <c r="F23" s="5" t="str">
        <f>IFERROR(VLOOKUP(SAISIE!$F23,REF_COUNTRIES!$A:$B,2,FALSE),"")</f>
        <v>CN</v>
      </c>
      <c r="G23" s="5" t="str">
        <f>IFERROR(VLOOKUP(SAISIE!$G23,REF_MATERIALS!$A:$B,2,FALSE),"")</f>
        <v/>
      </c>
      <c r="H23" s="5">
        <f>SAISIE!$H23</f>
        <v>0</v>
      </c>
      <c r="I23" s="5" t="str">
        <f>IFERROR(VLOOKUP(SAISIE!$I23,REF_COUNTRIES!$A:$B,2,FALSE),"")</f>
        <v/>
      </c>
      <c r="J23" s="5" t="str">
        <f>IFERROR(VLOOKUP(SAISIE!$J23,REF_MATERIALS!$A:$B,2,FALSE),"")</f>
        <v/>
      </c>
      <c r="K23" s="5">
        <f>SAISIE!$K23</f>
        <v>0</v>
      </c>
      <c r="L23" s="5" t="str">
        <f>IFERROR(VLOOKUP(SAISIE!$L23,REF_COUNTRIES!$A:$B,2,FALSE),"")</f>
        <v/>
      </c>
      <c r="M23" s="5" t="str">
        <f>IFERROR(VLOOKUP(SAISIE!$M23,REF_MATERIALS!$A:$B,2,FALSE),"")</f>
        <v/>
      </c>
      <c r="N23" s="5">
        <f>SAISIE!$N23</f>
        <v>0</v>
      </c>
      <c r="O23" s="5" t="str">
        <f>IFERROR(VLOOKUP(SAISIE!$O23,REF_COUNTRIES!$A:$B,2,FALSE),"")</f>
        <v/>
      </c>
      <c r="P23" s="5" t="str">
        <f>IFERROR(VLOOKUP(SAISIE!$P23,REF_MATERIALS!$A:$B,2,FALSE),"")</f>
        <v/>
      </c>
      <c r="Q23" s="5">
        <f>SAISIE!$Q23</f>
        <v>0</v>
      </c>
      <c r="R23" s="5" t="str">
        <f>IFERROR(VLOOKUP(SAISIE!$R23,REF_COUNTRIES!$A:$B,2,FALSE),"")</f>
        <v/>
      </c>
      <c r="S23" s="5" t="str">
        <f>IFERROR(VLOOKUP(SAISIE!$S23,REF_COUNTRIES!$A:$B,2,FALSE),"")</f>
        <v>MA</v>
      </c>
      <c r="T23" s="5" t="str">
        <f>IFERROR(VLOOKUP(SAISIE!$T23,REF_COUNTRIES!$A:$B,2,FALSE),"")</f>
        <v>IN</v>
      </c>
      <c r="U23" s="5" t="str">
        <f>IFERROR(VLOOKUP(SAISIE!$U23,REF_COUNTRIES!$A:$B,2,FALSE),"")</f>
        <v>ROC</v>
      </c>
      <c r="V23" s="5" t="str">
        <f>IFERROR(VLOOKUP(SAISIE!$V23,REF_COUNTRIES!$A:$B,2,FALSE),"")</f>
        <v>TR</v>
      </c>
    </row>
    <row r="24" spans="1:22" x14ac:dyDescent="0.25">
      <c r="A24" s="5" t="str">
        <f>SAISIE!$A24</f>
        <v>Produit Test 023 - Caleçon (tissé)</v>
      </c>
      <c r="B24" s="5" t="str">
        <f>IFERROR(VLOOKUP(SAISIE!$B24,REF_PRODUCTS!$A:$B,2,FALSE),"")</f>
        <v>calecon</v>
      </c>
      <c r="C24" s="5">
        <f>SAISIE!$C24</f>
        <v>0.39</v>
      </c>
      <c r="D24" s="5" t="str">
        <f>IFERROR(VLOOKUP(SAISIE!$D24,REF_MATERIALS!$A:$B,2,FALSE),"")</f>
        <v>8f44c680-1263-4588-b79b-a9e4dc3d8de4</v>
      </c>
      <c r="E24" s="5">
        <f>SAISIE!$E24</f>
        <v>1</v>
      </c>
      <c r="F24" s="5" t="str">
        <f>IFERROR(VLOOKUP(SAISIE!$F24,REF_COUNTRIES!$A:$B,2,FALSE),"")</f>
        <v>RAF</v>
      </c>
      <c r="G24" s="5" t="str">
        <f>IFERROR(VLOOKUP(SAISIE!$G24,REF_MATERIALS!$A:$B,2,FALSE),"")</f>
        <v/>
      </c>
      <c r="H24" s="5">
        <f>SAISIE!$H24</f>
        <v>0</v>
      </c>
      <c r="I24" s="5" t="str">
        <f>IFERROR(VLOOKUP(SAISIE!$I24,REF_COUNTRIES!$A:$B,2,FALSE),"")</f>
        <v/>
      </c>
      <c r="J24" s="5" t="str">
        <f>IFERROR(VLOOKUP(SAISIE!$J24,REF_MATERIALS!$A:$B,2,FALSE),"")</f>
        <v/>
      </c>
      <c r="K24" s="5">
        <f>SAISIE!$K24</f>
        <v>0</v>
      </c>
      <c r="L24" s="5" t="str">
        <f>IFERROR(VLOOKUP(SAISIE!$L24,REF_COUNTRIES!$A:$B,2,FALSE),"")</f>
        <v/>
      </c>
      <c r="M24" s="5" t="str">
        <f>IFERROR(VLOOKUP(SAISIE!$M24,REF_MATERIALS!$A:$B,2,FALSE),"")</f>
        <v/>
      </c>
      <c r="N24" s="5">
        <f>SAISIE!$N24</f>
        <v>0</v>
      </c>
      <c r="O24" s="5" t="str">
        <f>IFERROR(VLOOKUP(SAISIE!$O24,REF_COUNTRIES!$A:$B,2,FALSE),"")</f>
        <v/>
      </c>
      <c r="P24" s="5" t="str">
        <f>IFERROR(VLOOKUP(SAISIE!$P24,REF_MATERIALS!$A:$B,2,FALSE),"")</f>
        <v/>
      </c>
      <c r="Q24" s="5">
        <f>SAISIE!$Q24</f>
        <v>0</v>
      </c>
      <c r="R24" s="5" t="str">
        <f>IFERROR(VLOOKUP(SAISIE!$R24,REF_COUNTRIES!$A:$B,2,FALSE),"")</f>
        <v/>
      </c>
      <c r="S24" s="5" t="str">
        <f>IFERROR(VLOOKUP(SAISIE!$S24,REF_COUNTRIES!$A:$B,2,FALSE),"")</f>
        <v>IN</v>
      </c>
      <c r="T24" s="5" t="str">
        <f>IFERROR(VLOOKUP(SAISIE!$T24,REF_COUNTRIES!$A:$B,2,FALSE),"")</f>
        <v>RAS</v>
      </c>
      <c r="U24" s="5" t="str">
        <f>IFERROR(VLOOKUP(SAISIE!$U24,REF_COUNTRIES!$A:$B,2,FALSE),"")</f>
        <v>MM</v>
      </c>
      <c r="V24" s="5" t="str">
        <f>IFERROR(VLOOKUP(SAISIE!$V24,REF_COUNTRIES!$A:$B,2,FALSE),"")</f>
        <v>REE</v>
      </c>
    </row>
    <row r="25" spans="1:22" x14ac:dyDescent="0.25">
      <c r="A25" s="5" t="str">
        <f>SAISIE!$A25</f>
        <v>Produit Test 024 - Jean</v>
      </c>
      <c r="B25" s="5" t="str">
        <f>IFERROR(VLOOKUP(SAISIE!$B25,REF_PRODUCTS!$A:$B,2,FALSE),"")</f>
        <v>jean</v>
      </c>
      <c r="C25" s="5">
        <f>SAISIE!$C25</f>
        <v>0.83</v>
      </c>
      <c r="D25" s="5" t="str">
        <f>IFERROR(VLOOKUP(SAISIE!$D25,REF_MATERIALS!$A:$B,2,FALSE),"")</f>
        <v>457e9b0d-9eda-4dca-b199-deeb0a154fa9</v>
      </c>
      <c r="E25" s="5">
        <f>SAISIE!$E25</f>
        <v>0.7</v>
      </c>
      <c r="F25" s="5" t="str">
        <f>IFERROR(VLOOKUP(SAISIE!$F25,REF_COUNTRIES!$A:$B,2,FALSE),"")</f>
        <v>PK</v>
      </c>
      <c r="G25" s="5" t="str">
        <f>IFERROR(VLOOKUP(SAISIE!$G25,REF_MATERIALS!$A:$B,2,FALSE),"")</f>
        <v>72e29a61-52a9-4eb5-b3fc-5fb87edea041</v>
      </c>
      <c r="H25" s="5">
        <f>SAISIE!$H25</f>
        <v>0.3</v>
      </c>
      <c r="I25" s="5" t="str">
        <f>IFERROR(VLOOKUP(SAISIE!$I25,REF_COUNTRIES!$A:$B,2,FALSE),"")</f>
        <v>REE</v>
      </c>
      <c r="J25" s="5" t="str">
        <f>IFERROR(VLOOKUP(SAISIE!$J25,REF_MATERIALS!$A:$B,2,FALSE),"")</f>
        <v/>
      </c>
      <c r="K25" s="5">
        <f>SAISIE!$K25</f>
        <v>0</v>
      </c>
      <c r="L25" s="5" t="str">
        <f>IFERROR(VLOOKUP(SAISIE!$L25,REF_COUNTRIES!$A:$B,2,FALSE),"")</f>
        <v/>
      </c>
      <c r="M25" s="5" t="str">
        <f>IFERROR(VLOOKUP(SAISIE!$M25,REF_MATERIALS!$A:$B,2,FALSE),"")</f>
        <v/>
      </c>
      <c r="N25" s="5">
        <f>SAISIE!$N25</f>
        <v>0</v>
      </c>
      <c r="O25" s="5" t="str">
        <f>IFERROR(VLOOKUP(SAISIE!$O25,REF_COUNTRIES!$A:$B,2,FALSE),"")</f>
        <v/>
      </c>
      <c r="P25" s="5" t="str">
        <f>IFERROR(VLOOKUP(SAISIE!$P25,REF_MATERIALS!$A:$B,2,FALSE),"")</f>
        <v/>
      </c>
      <c r="Q25" s="5">
        <f>SAISIE!$Q25</f>
        <v>0</v>
      </c>
      <c r="R25" s="5" t="str">
        <f>IFERROR(VLOOKUP(SAISIE!$R25,REF_COUNTRIES!$A:$B,2,FALSE),"")</f>
        <v/>
      </c>
      <c r="S25" s="5" t="str">
        <f>IFERROR(VLOOKUP(SAISIE!$S25,REF_COUNTRIES!$A:$B,2,FALSE),"")</f>
        <v>ROC</v>
      </c>
      <c r="T25" s="5" t="str">
        <f>IFERROR(VLOOKUP(SAISIE!$T25,REF_COUNTRIES!$A:$B,2,FALSE),"")</f>
        <v>---</v>
      </c>
      <c r="U25" s="5" t="str">
        <f>IFERROR(VLOOKUP(SAISIE!$U25,REF_COUNTRIES!$A:$B,2,FALSE),"")</f>
        <v>KH</v>
      </c>
      <c r="V25" s="5" t="str">
        <f>IFERROR(VLOOKUP(SAISIE!$V25,REF_COUNTRIES!$A:$B,2,FALSE),"")</f>
        <v>TN</v>
      </c>
    </row>
    <row r="26" spans="1:22" x14ac:dyDescent="0.25">
      <c r="A26" s="5" t="str">
        <f>SAISIE!$A26</f>
        <v>Produit Test 025 - Manteau / Veste</v>
      </c>
      <c r="B26" s="5" t="str">
        <f>IFERROR(VLOOKUP(SAISIE!$B26,REF_PRODUCTS!$A:$B,2,FALSE),"")</f>
        <v>manteau</v>
      </c>
      <c r="C26" s="5">
        <f>SAISIE!$C26</f>
        <v>0.38</v>
      </c>
      <c r="D26" s="5" t="str">
        <f>IFERROR(VLOOKUP(SAISIE!$D26,REF_MATERIALS!$A:$B,2,FALSE),"")</f>
        <v>1fc3e17d-5661-429d-a150-7986eae16d9d</v>
      </c>
      <c r="E26" s="5">
        <f>SAISIE!$E26</f>
        <v>1</v>
      </c>
      <c r="F26" s="5" t="str">
        <f>IFERROR(VLOOKUP(SAISIE!$F26,REF_COUNTRIES!$A:$B,2,FALSE),"")</f>
        <v>TN</v>
      </c>
      <c r="G26" s="5" t="str">
        <f>IFERROR(VLOOKUP(SAISIE!$G26,REF_MATERIALS!$A:$B,2,FALSE),"")</f>
        <v/>
      </c>
      <c r="H26" s="5">
        <f>SAISIE!$H26</f>
        <v>0</v>
      </c>
      <c r="I26" s="5" t="str">
        <f>IFERROR(VLOOKUP(SAISIE!$I26,REF_COUNTRIES!$A:$B,2,FALSE),"")</f>
        <v/>
      </c>
      <c r="J26" s="5" t="str">
        <f>IFERROR(VLOOKUP(SAISIE!$J26,REF_MATERIALS!$A:$B,2,FALSE),"")</f>
        <v/>
      </c>
      <c r="K26" s="5">
        <f>SAISIE!$K26</f>
        <v>0</v>
      </c>
      <c r="L26" s="5" t="str">
        <f>IFERROR(VLOOKUP(SAISIE!$L26,REF_COUNTRIES!$A:$B,2,FALSE),"")</f>
        <v/>
      </c>
      <c r="M26" s="5" t="str">
        <f>IFERROR(VLOOKUP(SAISIE!$M26,REF_MATERIALS!$A:$B,2,FALSE),"")</f>
        <v/>
      </c>
      <c r="N26" s="5">
        <f>SAISIE!$N26</f>
        <v>0</v>
      </c>
      <c r="O26" s="5" t="str">
        <f>IFERROR(VLOOKUP(SAISIE!$O26,REF_COUNTRIES!$A:$B,2,FALSE),"")</f>
        <v/>
      </c>
      <c r="P26" s="5" t="str">
        <f>IFERROR(VLOOKUP(SAISIE!$P26,REF_MATERIALS!$A:$B,2,FALSE),"")</f>
        <v/>
      </c>
      <c r="Q26" s="5">
        <f>SAISIE!$Q26</f>
        <v>0</v>
      </c>
      <c r="R26" s="5" t="str">
        <f>IFERROR(VLOOKUP(SAISIE!$R26,REF_COUNTRIES!$A:$B,2,FALSE),"")</f>
        <v/>
      </c>
      <c r="S26" s="5" t="str">
        <f>IFERROR(VLOOKUP(SAISIE!$S26,REF_COUNTRIES!$A:$B,2,FALSE),"")</f>
        <v>TN</v>
      </c>
      <c r="T26" s="5" t="str">
        <f>IFERROR(VLOOKUP(SAISIE!$T26,REF_COUNTRIES!$A:$B,2,FALSE),"")</f>
        <v>RLA</v>
      </c>
      <c r="U26" s="5" t="str">
        <f>IFERROR(VLOOKUP(SAISIE!$U26,REF_COUNTRIES!$A:$B,2,FALSE),"")</f>
        <v>FR</v>
      </c>
      <c r="V26" s="5" t="str">
        <f>IFERROR(VLOOKUP(SAISIE!$V26,REF_COUNTRIES!$A:$B,2,FALSE),"")</f>
        <v>BD</v>
      </c>
    </row>
    <row r="27" spans="1:22" x14ac:dyDescent="0.25">
      <c r="A27" s="5" t="str">
        <f>SAISIE!$A27</f>
        <v>Produit Test 026 - Boxer / Slip (tricoté)</v>
      </c>
      <c r="B27" s="5" t="str">
        <f>IFERROR(VLOOKUP(SAISIE!$B27,REF_PRODUCTS!$A:$B,2,FALSE),"")</f>
        <v>slip</v>
      </c>
      <c r="C27" s="5">
        <f>SAISIE!$C27</f>
        <v>0.33</v>
      </c>
      <c r="D27" s="5" t="str">
        <f>IFERROR(VLOOKUP(SAISIE!$D27,REF_MATERIALS!$A:$B,2,FALSE),"")</f>
        <v>72e29a61-52a9-4eb5-b3fc-5fb87edea041</v>
      </c>
      <c r="E27" s="5">
        <f>SAISIE!$E27</f>
        <v>1</v>
      </c>
      <c r="F27" s="5" t="str">
        <f>IFERROR(VLOOKUP(SAISIE!$F27,REF_COUNTRIES!$A:$B,2,FALSE),"")</f>
        <v>PK</v>
      </c>
      <c r="G27" s="5" t="str">
        <f>IFERROR(VLOOKUP(SAISIE!$G27,REF_MATERIALS!$A:$B,2,FALSE),"")</f>
        <v/>
      </c>
      <c r="H27" s="5">
        <f>SAISIE!$H27</f>
        <v>0</v>
      </c>
      <c r="I27" s="5" t="str">
        <f>IFERROR(VLOOKUP(SAISIE!$I27,REF_COUNTRIES!$A:$B,2,FALSE),"")</f>
        <v/>
      </c>
      <c r="J27" s="5" t="str">
        <f>IFERROR(VLOOKUP(SAISIE!$J27,REF_MATERIALS!$A:$B,2,FALSE),"")</f>
        <v/>
      </c>
      <c r="K27" s="5">
        <f>SAISIE!$K27</f>
        <v>0</v>
      </c>
      <c r="L27" s="5" t="str">
        <f>IFERROR(VLOOKUP(SAISIE!$L27,REF_COUNTRIES!$A:$B,2,FALSE),"")</f>
        <v/>
      </c>
      <c r="M27" s="5" t="str">
        <f>IFERROR(VLOOKUP(SAISIE!$M27,REF_MATERIALS!$A:$B,2,FALSE),"")</f>
        <v/>
      </c>
      <c r="N27" s="5">
        <f>SAISIE!$N27</f>
        <v>0</v>
      </c>
      <c r="O27" s="5" t="str">
        <f>IFERROR(VLOOKUP(SAISIE!$O27,REF_COUNTRIES!$A:$B,2,FALSE),"")</f>
        <v/>
      </c>
      <c r="P27" s="5" t="str">
        <f>IFERROR(VLOOKUP(SAISIE!$P27,REF_MATERIALS!$A:$B,2,FALSE),"")</f>
        <v/>
      </c>
      <c r="Q27" s="5">
        <f>SAISIE!$Q27</f>
        <v>0</v>
      </c>
      <c r="R27" s="5" t="str">
        <f>IFERROR(VLOOKUP(SAISIE!$R27,REF_COUNTRIES!$A:$B,2,FALSE),"")</f>
        <v/>
      </c>
      <c r="S27" s="5" t="str">
        <f>IFERROR(VLOOKUP(SAISIE!$S27,REF_COUNTRIES!$A:$B,2,FALSE),"")</f>
        <v>RME</v>
      </c>
      <c r="T27" s="5" t="str">
        <f>IFERROR(VLOOKUP(SAISIE!$T27,REF_COUNTRIES!$A:$B,2,FALSE),"")</f>
        <v>VN</v>
      </c>
      <c r="U27" s="5" t="str">
        <f>IFERROR(VLOOKUP(SAISIE!$U27,REF_COUNTRIES!$A:$B,2,FALSE),"")</f>
        <v>RNA</v>
      </c>
      <c r="V27" s="5" t="str">
        <f>IFERROR(VLOOKUP(SAISIE!$V27,REF_COUNTRIES!$A:$B,2,FALSE),"")</f>
        <v>CN</v>
      </c>
    </row>
    <row r="28" spans="1:22" x14ac:dyDescent="0.25">
      <c r="A28" s="5" t="str">
        <f>SAISIE!$A28</f>
        <v>Produit Test 027 - Pantalon / Short</v>
      </c>
      <c r="B28" s="5" t="str">
        <f>IFERROR(VLOOKUP(SAISIE!$B28,REF_PRODUCTS!$A:$B,2,FALSE),"")</f>
        <v>pantalon</v>
      </c>
      <c r="C28" s="5">
        <f>SAISIE!$C28</f>
        <v>0.19</v>
      </c>
      <c r="D28" s="5" t="str">
        <f>IFERROR(VLOOKUP(SAISIE!$D28,REF_MATERIALS!$A:$B,2,FALSE),"")</f>
        <v>8f44c680-1263-4588-b79b-a9e4dc3d8de4</v>
      </c>
      <c r="E28" s="5">
        <f>SAISIE!$E28</f>
        <v>0.9</v>
      </c>
      <c r="F28" s="5" t="str">
        <f>IFERROR(VLOOKUP(SAISIE!$F28,REF_COUNTRIES!$A:$B,2,FALSE),"")</f>
        <v>IN</v>
      </c>
      <c r="G28" s="5" t="str">
        <f>IFERROR(VLOOKUP(SAISIE!$G28,REF_MATERIALS!$A:$B,2,FALSE),"")</f>
        <v>49a0bec0-f9f3-42db-a514-a9dcf06a8969</v>
      </c>
      <c r="H28" s="5">
        <f>SAISIE!$H28</f>
        <v>0.1</v>
      </c>
      <c r="I28" s="5" t="str">
        <f>IFERROR(VLOOKUP(SAISIE!$I28,REF_COUNTRIES!$A:$B,2,FALSE),"")</f>
        <v>ROC</v>
      </c>
      <c r="J28" s="5" t="str">
        <f>IFERROR(VLOOKUP(SAISIE!$J28,REF_MATERIALS!$A:$B,2,FALSE),"")</f>
        <v/>
      </c>
      <c r="K28" s="5">
        <f>SAISIE!$K28</f>
        <v>0</v>
      </c>
      <c r="L28" s="5" t="str">
        <f>IFERROR(VLOOKUP(SAISIE!$L28,REF_COUNTRIES!$A:$B,2,FALSE),"")</f>
        <v/>
      </c>
      <c r="M28" s="5" t="str">
        <f>IFERROR(VLOOKUP(SAISIE!$M28,REF_MATERIALS!$A:$B,2,FALSE),"")</f>
        <v/>
      </c>
      <c r="N28" s="5">
        <f>SAISIE!$N28</f>
        <v>0</v>
      </c>
      <c r="O28" s="5" t="str">
        <f>IFERROR(VLOOKUP(SAISIE!$O28,REF_COUNTRIES!$A:$B,2,FALSE),"")</f>
        <v/>
      </c>
      <c r="P28" s="5" t="str">
        <f>IFERROR(VLOOKUP(SAISIE!$P28,REF_MATERIALS!$A:$B,2,FALSE),"")</f>
        <v/>
      </c>
      <c r="Q28" s="5">
        <f>SAISIE!$Q28</f>
        <v>0</v>
      </c>
      <c r="R28" s="5" t="str">
        <f>IFERROR(VLOOKUP(SAISIE!$R28,REF_COUNTRIES!$A:$B,2,FALSE),"")</f>
        <v/>
      </c>
      <c r="S28" s="5" t="str">
        <f>IFERROR(VLOOKUP(SAISIE!$S28,REF_COUNTRIES!$A:$B,2,FALSE),"")</f>
        <v>VN</v>
      </c>
      <c r="T28" s="5" t="str">
        <f>IFERROR(VLOOKUP(SAISIE!$T28,REF_COUNTRIES!$A:$B,2,FALSE),"")</f>
        <v>RAF</v>
      </c>
      <c r="U28" s="5" t="str">
        <f>IFERROR(VLOOKUP(SAISIE!$U28,REF_COUNTRIES!$A:$B,2,FALSE),"")</f>
        <v>RAS</v>
      </c>
      <c r="V28" s="5" t="str">
        <f>IFERROR(VLOOKUP(SAISIE!$V28,REF_COUNTRIES!$A:$B,2,FALSE),"")</f>
        <v>RNA</v>
      </c>
    </row>
    <row r="29" spans="1:22" x14ac:dyDescent="0.25">
      <c r="A29" s="5" t="str">
        <f>SAISIE!$A29</f>
        <v>Produit Test 028 - Pantalon / Short</v>
      </c>
      <c r="B29" s="5" t="str">
        <f>IFERROR(VLOOKUP(SAISIE!$B29,REF_PRODUCTS!$A:$B,2,FALSE),"")</f>
        <v>pantalon</v>
      </c>
      <c r="C29" s="5">
        <f>SAISIE!$C29</f>
        <v>0.26</v>
      </c>
      <c r="D29" s="5" t="str">
        <f>IFERROR(VLOOKUP(SAISIE!$D29,REF_MATERIALS!$A:$B,2,FALSE),"")</f>
        <v>a1c1c2ec-33b1-49d6-bf8e-139e2eb7f097</v>
      </c>
      <c r="E29" s="5">
        <f>SAISIE!$E29</f>
        <v>1</v>
      </c>
      <c r="F29" s="5" t="str">
        <f>IFERROR(VLOOKUP(SAISIE!$F29,REF_COUNTRIES!$A:$B,2,FALSE),"")</f>
        <v>MM</v>
      </c>
      <c r="G29" s="5" t="str">
        <f>IFERROR(VLOOKUP(SAISIE!$G29,REF_MATERIALS!$A:$B,2,FALSE),"")</f>
        <v/>
      </c>
      <c r="H29" s="5">
        <f>SAISIE!$H29</f>
        <v>0</v>
      </c>
      <c r="I29" s="5" t="str">
        <f>IFERROR(VLOOKUP(SAISIE!$I29,REF_COUNTRIES!$A:$B,2,FALSE),"")</f>
        <v/>
      </c>
      <c r="J29" s="5" t="str">
        <f>IFERROR(VLOOKUP(SAISIE!$J29,REF_MATERIALS!$A:$B,2,FALSE),"")</f>
        <v/>
      </c>
      <c r="K29" s="5">
        <f>SAISIE!$K29</f>
        <v>0</v>
      </c>
      <c r="L29" s="5" t="str">
        <f>IFERROR(VLOOKUP(SAISIE!$L29,REF_COUNTRIES!$A:$B,2,FALSE),"")</f>
        <v/>
      </c>
      <c r="M29" s="5" t="str">
        <f>IFERROR(VLOOKUP(SAISIE!$M29,REF_MATERIALS!$A:$B,2,FALSE),"")</f>
        <v/>
      </c>
      <c r="N29" s="5">
        <f>SAISIE!$N29</f>
        <v>0</v>
      </c>
      <c r="O29" s="5" t="str">
        <f>IFERROR(VLOOKUP(SAISIE!$O29,REF_COUNTRIES!$A:$B,2,FALSE),"")</f>
        <v/>
      </c>
      <c r="P29" s="5" t="str">
        <f>IFERROR(VLOOKUP(SAISIE!$P29,REF_MATERIALS!$A:$B,2,FALSE),"")</f>
        <v/>
      </c>
      <c r="Q29" s="5">
        <f>SAISIE!$Q29</f>
        <v>0</v>
      </c>
      <c r="R29" s="5" t="str">
        <f>IFERROR(VLOOKUP(SAISIE!$R29,REF_COUNTRIES!$A:$B,2,FALSE),"")</f>
        <v/>
      </c>
      <c r="S29" s="5" t="str">
        <f>IFERROR(VLOOKUP(SAISIE!$S29,REF_COUNTRIES!$A:$B,2,FALSE),"")</f>
        <v>IN</v>
      </c>
      <c r="T29" s="5" t="str">
        <f>IFERROR(VLOOKUP(SAISIE!$T29,REF_COUNTRIES!$A:$B,2,FALSE),"")</f>
        <v>RLA</v>
      </c>
      <c r="U29" s="5" t="str">
        <f>IFERROR(VLOOKUP(SAISIE!$U29,REF_COUNTRIES!$A:$B,2,FALSE),"")</f>
        <v>CN</v>
      </c>
      <c r="V29" s="5" t="str">
        <f>IFERROR(VLOOKUP(SAISIE!$V29,REF_COUNTRIES!$A:$B,2,FALSE),"")</f>
        <v>TN</v>
      </c>
    </row>
    <row r="30" spans="1:22" x14ac:dyDescent="0.25">
      <c r="A30" s="5" t="str">
        <f>SAISIE!$A30</f>
        <v>Produit Test 029 - Jupe / Robe</v>
      </c>
      <c r="B30" s="5" t="str">
        <f>IFERROR(VLOOKUP(SAISIE!$B30,REF_PRODUCTS!$A:$B,2,FALSE),"")</f>
        <v>jupe</v>
      </c>
      <c r="C30" s="5">
        <f>SAISIE!$C30</f>
        <v>0.37</v>
      </c>
      <c r="D30" s="5" t="str">
        <f>IFERROR(VLOOKUP(SAISIE!$D30,REF_MATERIALS!$A:$B,2,FALSE),"")</f>
        <v>72e29a61-52a9-4eb5-b3fc-5fb87edea041</v>
      </c>
      <c r="E30" s="5">
        <f>SAISIE!$E30</f>
        <v>1</v>
      </c>
      <c r="F30" s="5" t="str">
        <f>IFERROR(VLOOKUP(SAISIE!$F30,REF_COUNTRIES!$A:$B,2,FALSE),"")</f>
        <v>KH</v>
      </c>
      <c r="G30" s="5" t="str">
        <f>IFERROR(VLOOKUP(SAISIE!$G30,REF_MATERIALS!$A:$B,2,FALSE),"")</f>
        <v/>
      </c>
      <c r="H30" s="5">
        <f>SAISIE!$H30</f>
        <v>0</v>
      </c>
      <c r="I30" s="5" t="str">
        <f>IFERROR(VLOOKUP(SAISIE!$I30,REF_COUNTRIES!$A:$B,2,FALSE),"")</f>
        <v/>
      </c>
      <c r="J30" s="5" t="str">
        <f>IFERROR(VLOOKUP(SAISIE!$J30,REF_MATERIALS!$A:$B,2,FALSE),"")</f>
        <v/>
      </c>
      <c r="K30" s="5">
        <f>SAISIE!$K30</f>
        <v>0</v>
      </c>
      <c r="L30" s="5" t="str">
        <f>IFERROR(VLOOKUP(SAISIE!$L30,REF_COUNTRIES!$A:$B,2,FALSE),"")</f>
        <v/>
      </c>
      <c r="M30" s="5" t="str">
        <f>IFERROR(VLOOKUP(SAISIE!$M30,REF_MATERIALS!$A:$B,2,FALSE),"")</f>
        <v/>
      </c>
      <c r="N30" s="5">
        <f>SAISIE!$N30</f>
        <v>0</v>
      </c>
      <c r="O30" s="5" t="str">
        <f>IFERROR(VLOOKUP(SAISIE!$O30,REF_COUNTRIES!$A:$B,2,FALSE),"")</f>
        <v/>
      </c>
      <c r="P30" s="5" t="str">
        <f>IFERROR(VLOOKUP(SAISIE!$P30,REF_MATERIALS!$A:$B,2,FALSE),"")</f>
        <v/>
      </c>
      <c r="Q30" s="5">
        <f>SAISIE!$Q30</f>
        <v>0</v>
      </c>
      <c r="R30" s="5" t="str">
        <f>IFERROR(VLOOKUP(SAISIE!$R30,REF_COUNTRIES!$A:$B,2,FALSE),"")</f>
        <v/>
      </c>
      <c r="S30" s="5" t="str">
        <f>IFERROR(VLOOKUP(SAISIE!$S30,REF_COUNTRIES!$A:$B,2,FALSE),"")</f>
        <v>RLA</v>
      </c>
      <c r="T30" s="5" t="str">
        <f>IFERROR(VLOOKUP(SAISIE!$T30,REF_COUNTRIES!$A:$B,2,FALSE),"")</f>
        <v>BD</v>
      </c>
      <c r="U30" s="5" t="str">
        <f>IFERROR(VLOOKUP(SAISIE!$U30,REF_COUNTRIES!$A:$B,2,FALSE),"")</f>
        <v>MA</v>
      </c>
      <c r="V30" s="5" t="str">
        <f>IFERROR(VLOOKUP(SAISIE!$V30,REF_COUNTRIES!$A:$B,2,FALSE),"")</f>
        <v>RLA</v>
      </c>
    </row>
    <row r="31" spans="1:22" x14ac:dyDescent="0.25">
      <c r="A31" s="5" t="str">
        <f>SAISIE!$A31</f>
        <v>Produit Test 030 - Jupe / Robe</v>
      </c>
      <c r="B31" s="5" t="str">
        <f>IFERROR(VLOOKUP(SAISIE!$B31,REF_PRODUCTS!$A:$B,2,FALSE),"")</f>
        <v>jupe</v>
      </c>
      <c r="C31" s="5">
        <f>SAISIE!$C31</f>
        <v>0.2</v>
      </c>
      <c r="D31" s="5" t="str">
        <f>IFERROR(VLOOKUP(SAISIE!$D31,REF_MATERIALS!$A:$B,2,FALSE),"")</f>
        <v>9dba0e95-0c35-4f8b-9267-62ddf47d4984</v>
      </c>
      <c r="E31" s="5">
        <f>SAISIE!$E31</f>
        <v>0.51</v>
      </c>
      <c r="F31" s="5" t="str">
        <f>IFERROR(VLOOKUP(SAISIE!$F31,REF_COUNTRIES!$A:$B,2,FALSE),"")</f>
        <v>RME</v>
      </c>
      <c r="G31" s="5" t="str">
        <f>IFERROR(VLOOKUP(SAISIE!$G31,REF_MATERIALS!$A:$B,2,FALSE),"")</f>
        <v>62a4d6fb-3276-4ba5-93a3-889ecd3bff84</v>
      </c>
      <c r="H31" s="5">
        <f>SAISIE!$H31</f>
        <v>0.49</v>
      </c>
      <c r="I31" s="5" t="str">
        <f>IFERROR(VLOOKUP(SAISIE!$I31,REF_COUNTRIES!$A:$B,2,FALSE),"")</f>
        <v>RLA</v>
      </c>
      <c r="J31" s="5" t="str">
        <f>IFERROR(VLOOKUP(SAISIE!$J31,REF_MATERIALS!$A:$B,2,FALSE),"")</f>
        <v/>
      </c>
      <c r="K31" s="5">
        <f>SAISIE!$K31</f>
        <v>0</v>
      </c>
      <c r="L31" s="5" t="str">
        <f>IFERROR(VLOOKUP(SAISIE!$L31,REF_COUNTRIES!$A:$B,2,FALSE),"")</f>
        <v/>
      </c>
      <c r="M31" s="5" t="str">
        <f>IFERROR(VLOOKUP(SAISIE!$M31,REF_MATERIALS!$A:$B,2,FALSE),"")</f>
        <v/>
      </c>
      <c r="N31" s="5">
        <f>SAISIE!$N31</f>
        <v>0</v>
      </c>
      <c r="O31" s="5" t="str">
        <f>IFERROR(VLOOKUP(SAISIE!$O31,REF_COUNTRIES!$A:$B,2,FALSE),"")</f>
        <v/>
      </c>
      <c r="P31" s="5" t="str">
        <f>IFERROR(VLOOKUP(SAISIE!$P31,REF_MATERIALS!$A:$B,2,FALSE),"")</f>
        <v/>
      </c>
      <c r="Q31" s="5">
        <f>SAISIE!$Q31</f>
        <v>0</v>
      </c>
      <c r="R31" s="5" t="str">
        <f>IFERROR(VLOOKUP(SAISIE!$R31,REF_COUNTRIES!$A:$B,2,FALSE),"")</f>
        <v/>
      </c>
      <c r="S31" s="5" t="str">
        <f>IFERROR(VLOOKUP(SAISIE!$S31,REF_COUNTRIES!$A:$B,2,FALSE),"")</f>
        <v>PK</v>
      </c>
      <c r="T31" s="5" t="str">
        <f>IFERROR(VLOOKUP(SAISIE!$T31,REF_COUNTRIES!$A:$B,2,FALSE),"")</f>
        <v>TR</v>
      </c>
      <c r="U31" s="5" t="str">
        <f>IFERROR(VLOOKUP(SAISIE!$U31,REF_COUNTRIES!$A:$B,2,FALSE),"")</f>
        <v>RME</v>
      </c>
      <c r="V31" s="5" t="str">
        <f>IFERROR(VLOOKUP(SAISIE!$V31,REF_COUNTRIES!$A:$B,2,FALSE),"")</f>
        <v>ROC</v>
      </c>
    </row>
    <row r="32" spans="1:22" x14ac:dyDescent="0.25">
      <c r="A32" s="5" t="str">
        <f>SAISIE!$A32</f>
        <v>Produit Test 031 - Boxer / Slip (tricoté)</v>
      </c>
      <c r="B32" s="5" t="str">
        <f>IFERROR(VLOOKUP(SAISIE!$B32,REF_PRODUCTS!$A:$B,2,FALSE),"")</f>
        <v>slip</v>
      </c>
      <c r="C32" s="5">
        <f>SAISIE!$C32</f>
        <v>0.28000000000000003</v>
      </c>
      <c r="D32" s="5" t="str">
        <f>IFERROR(VLOOKUP(SAISIE!$D32,REF_MATERIALS!$A:$B,2,FALSE),"")</f>
        <v>8f44c680-1263-4588-b79b-a9e4dc3d8de4</v>
      </c>
      <c r="E32" s="5">
        <f>SAISIE!$E32</f>
        <v>0.66</v>
      </c>
      <c r="F32" s="5" t="str">
        <f>IFERROR(VLOOKUP(SAISIE!$F32,REF_COUNTRIES!$A:$B,2,FALSE),"")</f>
        <v>FR</v>
      </c>
      <c r="G32" s="5" t="str">
        <f>IFERROR(VLOOKUP(SAISIE!$G32,REF_MATERIALS!$A:$B,2,FALSE),"")</f>
        <v>a09b2677-2900-4417-a202-e5f9a1abcce1</v>
      </c>
      <c r="H32" s="5">
        <f>SAISIE!$H32</f>
        <v>0.34</v>
      </c>
      <c r="I32" s="5" t="str">
        <f>IFERROR(VLOOKUP(SAISIE!$I32,REF_COUNTRIES!$A:$B,2,FALSE),"")</f>
        <v>TN</v>
      </c>
      <c r="J32" s="5" t="str">
        <f>IFERROR(VLOOKUP(SAISIE!$J32,REF_MATERIALS!$A:$B,2,FALSE),"")</f>
        <v/>
      </c>
      <c r="K32" s="5">
        <f>SAISIE!$K32</f>
        <v>0</v>
      </c>
      <c r="L32" s="5" t="str">
        <f>IFERROR(VLOOKUP(SAISIE!$L32,REF_COUNTRIES!$A:$B,2,FALSE),"")</f>
        <v/>
      </c>
      <c r="M32" s="5" t="str">
        <f>IFERROR(VLOOKUP(SAISIE!$M32,REF_MATERIALS!$A:$B,2,FALSE),"")</f>
        <v/>
      </c>
      <c r="N32" s="5">
        <f>SAISIE!$N32</f>
        <v>0</v>
      </c>
      <c r="O32" s="5" t="str">
        <f>IFERROR(VLOOKUP(SAISIE!$O32,REF_COUNTRIES!$A:$B,2,FALSE),"")</f>
        <v/>
      </c>
      <c r="P32" s="5" t="str">
        <f>IFERROR(VLOOKUP(SAISIE!$P32,REF_MATERIALS!$A:$B,2,FALSE),"")</f>
        <v/>
      </c>
      <c r="Q32" s="5">
        <f>SAISIE!$Q32</f>
        <v>0</v>
      </c>
      <c r="R32" s="5" t="str">
        <f>IFERROR(VLOOKUP(SAISIE!$R32,REF_COUNTRIES!$A:$B,2,FALSE),"")</f>
        <v/>
      </c>
      <c r="S32" s="5" t="str">
        <f>IFERROR(VLOOKUP(SAISIE!$S32,REF_COUNTRIES!$A:$B,2,FALSE),"")</f>
        <v>REO</v>
      </c>
      <c r="T32" s="5" t="str">
        <f>IFERROR(VLOOKUP(SAISIE!$T32,REF_COUNTRIES!$A:$B,2,FALSE),"")</f>
        <v>MM</v>
      </c>
      <c r="U32" s="5" t="str">
        <f>IFERROR(VLOOKUP(SAISIE!$U32,REF_COUNTRIES!$A:$B,2,FALSE),"")</f>
        <v>ROC</v>
      </c>
      <c r="V32" s="5" t="str">
        <f>IFERROR(VLOOKUP(SAISIE!$V32,REF_COUNTRIES!$A:$B,2,FALSE),"")</f>
        <v>FR</v>
      </c>
    </row>
    <row r="33" spans="1:22" x14ac:dyDescent="0.25">
      <c r="A33" s="5" t="str">
        <f>SAISIE!$A33</f>
        <v>Produit Test 032 - Pull</v>
      </c>
      <c r="B33" s="5" t="str">
        <f>IFERROR(VLOOKUP(SAISIE!$B33,REF_PRODUCTS!$A:$B,2,FALSE),"")</f>
        <v>pull</v>
      </c>
      <c r="C33" s="5">
        <f>SAISIE!$C33</f>
        <v>0.65</v>
      </c>
      <c r="D33" s="5" t="str">
        <f>IFERROR(VLOOKUP(SAISIE!$D33,REF_MATERIALS!$A:$B,2,FALSE),"")</f>
        <v>a09b2677-2900-4417-a202-e5f9a1abcce1</v>
      </c>
      <c r="E33" s="5">
        <f>SAISIE!$E33</f>
        <v>1</v>
      </c>
      <c r="F33" s="5" t="str">
        <f>IFERROR(VLOOKUP(SAISIE!$F33,REF_COUNTRIES!$A:$B,2,FALSE),"")</f>
        <v>BD</v>
      </c>
      <c r="G33" s="5" t="str">
        <f>IFERROR(VLOOKUP(SAISIE!$G33,REF_MATERIALS!$A:$B,2,FALSE),"")</f>
        <v/>
      </c>
      <c r="H33" s="5">
        <f>SAISIE!$H33</f>
        <v>0</v>
      </c>
      <c r="I33" s="5" t="str">
        <f>IFERROR(VLOOKUP(SAISIE!$I33,REF_COUNTRIES!$A:$B,2,FALSE),"")</f>
        <v/>
      </c>
      <c r="J33" s="5" t="str">
        <f>IFERROR(VLOOKUP(SAISIE!$J33,REF_MATERIALS!$A:$B,2,FALSE),"")</f>
        <v/>
      </c>
      <c r="K33" s="5">
        <f>SAISIE!$K33</f>
        <v>0</v>
      </c>
      <c r="L33" s="5" t="str">
        <f>IFERROR(VLOOKUP(SAISIE!$L33,REF_COUNTRIES!$A:$B,2,FALSE),"")</f>
        <v/>
      </c>
      <c r="M33" s="5" t="str">
        <f>IFERROR(VLOOKUP(SAISIE!$M33,REF_MATERIALS!$A:$B,2,FALSE),"")</f>
        <v/>
      </c>
      <c r="N33" s="5">
        <f>SAISIE!$N33</f>
        <v>0</v>
      </c>
      <c r="O33" s="5" t="str">
        <f>IFERROR(VLOOKUP(SAISIE!$O33,REF_COUNTRIES!$A:$B,2,FALSE),"")</f>
        <v/>
      </c>
      <c r="P33" s="5" t="str">
        <f>IFERROR(VLOOKUP(SAISIE!$P33,REF_MATERIALS!$A:$B,2,FALSE),"")</f>
        <v/>
      </c>
      <c r="Q33" s="5">
        <f>SAISIE!$Q33</f>
        <v>0</v>
      </c>
      <c r="R33" s="5" t="str">
        <f>IFERROR(VLOOKUP(SAISIE!$R33,REF_COUNTRIES!$A:$B,2,FALSE),"")</f>
        <v/>
      </c>
      <c r="S33" s="5" t="str">
        <f>IFERROR(VLOOKUP(SAISIE!$S33,REF_COUNTRIES!$A:$B,2,FALSE),"")</f>
        <v>BD</v>
      </c>
      <c r="T33" s="5" t="str">
        <f>IFERROR(VLOOKUP(SAISIE!$T33,REF_COUNTRIES!$A:$B,2,FALSE),"")</f>
        <v>REO</v>
      </c>
      <c r="U33" s="5" t="str">
        <f>IFERROR(VLOOKUP(SAISIE!$U33,REF_COUNTRIES!$A:$B,2,FALSE),"")</f>
        <v>TN</v>
      </c>
      <c r="V33" s="5" t="str">
        <f>IFERROR(VLOOKUP(SAISIE!$V33,REF_COUNTRIES!$A:$B,2,FALSE),"")</f>
        <v>RNA</v>
      </c>
    </row>
    <row r="34" spans="1:22" x14ac:dyDescent="0.25">
      <c r="A34" s="5" t="str">
        <f>SAISIE!$A34</f>
        <v>Produit Test 033 - Maillot de bain</v>
      </c>
      <c r="B34" s="5" t="str">
        <f>IFERROR(VLOOKUP(SAISIE!$B34,REF_PRODUCTS!$A:$B,2,FALSE),"")</f>
        <v>maillot-de-bain</v>
      </c>
      <c r="C34" s="5">
        <f>SAISIE!$C34</f>
        <v>0.43</v>
      </c>
      <c r="D34" s="5" t="str">
        <f>IFERROR(VLOOKUP(SAISIE!$D34,REF_MATERIALS!$A:$B,2,FALSE),"")</f>
        <v>1fc3e17d-5661-429d-a150-7986eae16d9d</v>
      </c>
      <c r="E34" s="5">
        <f>SAISIE!$E34</f>
        <v>0.52</v>
      </c>
      <c r="F34" s="5" t="str">
        <f>IFERROR(VLOOKUP(SAISIE!$F34,REF_COUNTRIES!$A:$B,2,FALSE),"")</f>
        <v>RLA</v>
      </c>
      <c r="G34" s="5" t="str">
        <f>IFERROR(VLOOKUP(SAISIE!$G34,REF_MATERIALS!$A:$B,2,FALSE),"")</f>
        <v>9973088b-c929-4cc5-894a-1e4d28c161d4</v>
      </c>
      <c r="H34" s="5">
        <f>SAISIE!$H34</f>
        <v>0.48</v>
      </c>
      <c r="I34" s="5" t="str">
        <f>IFERROR(VLOOKUP(SAISIE!$I34,REF_COUNTRIES!$A:$B,2,FALSE),"")</f>
        <v>FR</v>
      </c>
      <c r="J34" s="5" t="str">
        <f>IFERROR(VLOOKUP(SAISIE!$J34,REF_MATERIALS!$A:$B,2,FALSE),"")</f>
        <v/>
      </c>
      <c r="K34" s="5">
        <f>SAISIE!$K34</f>
        <v>0</v>
      </c>
      <c r="L34" s="5" t="str">
        <f>IFERROR(VLOOKUP(SAISIE!$L34,REF_COUNTRIES!$A:$B,2,FALSE),"")</f>
        <v/>
      </c>
      <c r="M34" s="5" t="str">
        <f>IFERROR(VLOOKUP(SAISIE!$M34,REF_MATERIALS!$A:$B,2,FALSE),"")</f>
        <v/>
      </c>
      <c r="N34" s="5">
        <f>SAISIE!$N34</f>
        <v>0</v>
      </c>
      <c r="O34" s="5" t="str">
        <f>IFERROR(VLOOKUP(SAISIE!$O34,REF_COUNTRIES!$A:$B,2,FALSE),"")</f>
        <v/>
      </c>
      <c r="P34" s="5" t="str">
        <f>IFERROR(VLOOKUP(SAISIE!$P34,REF_MATERIALS!$A:$B,2,FALSE),"")</f>
        <v/>
      </c>
      <c r="Q34" s="5">
        <f>SAISIE!$Q34</f>
        <v>0</v>
      </c>
      <c r="R34" s="5" t="str">
        <f>IFERROR(VLOOKUP(SAISIE!$R34,REF_COUNTRIES!$A:$B,2,FALSE),"")</f>
        <v/>
      </c>
      <c r="S34" s="5" t="str">
        <f>IFERROR(VLOOKUP(SAISIE!$S34,REF_COUNTRIES!$A:$B,2,FALSE),"")</f>
        <v>BD</v>
      </c>
      <c r="T34" s="5" t="str">
        <f>IFERROR(VLOOKUP(SAISIE!$T34,REF_COUNTRIES!$A:$B,2,FALSE),"")</f>
        <v>RNA</v>
      </c>
      <c r="U34" s="5" t="str">
        <f>IFERROR(VLOOKUP(SAISIE!$U34,REF_COUNTRIES!$A:$B,2,FALSE),"")</f>
        <v>RME</v>
      </c>
      <c r="V34" s="5" t="str">
        <f>IFERROR(VLOOKUP(SAISIE!$V34,REF_COUNTRIES!$A:$B,2,FALSE),"")</f>
        <v>RLA</v>
      </c>
    </row>
    <row r="35" spans="1:22" x14ac:dyDescent="0.25">
      <c r="A35" s="5" t="str">
        <f>SAISIE!$A35</f>
        <v>Produit Test 034 - Caleçon (tissé)</v>
      </c>
      <c r="B35" s="5" t="str">
        <f>IFERROR(VLOOKUP(SAISIE!$B35,REF_PRODUCTS!$A:$B,2,FALSE),"")</f>
        <v>calecon</v>
      </c>
      <c r="C35" s="5">
        <f>SAISIE!$C35</f>
        <v>0.48</v>
      </c>
      <c r="D35" s="5" t="str">
        <f>IFERROR(VLOOKUP(SAISIE!$D35,REF_MATERIALS!$A:$B,2,FALSE),"")</f>
        <v>9973088b-c929-4cc5-894a-1e4d28c161d4</v>
      </c>
      <c r="E35" s="5">
        <f>SAISIE!$E35</f>
        <v>1</v>
      </c>
      <c r="F35" s="5" t="str">
        <f>IFERROR(VLOOKUP(SAISIE!$F35,REF_COUNTRIES!$A:$B,2,FALSE),"")</f>
        <v>FR</v>
      </c>
      <c r="G35" s="5" t="str">
        <f>IFERROR(VLOOKUP(SAISIE!$G35,REF_MATERIALS!$A:$B,2,FALSE),"")</f>
        <v/>
      </c>
      <c r="H35" s="5">
        <f>SAISIE!$H35</f>
        <v>0</v>
      </c>
      <c r="I35" s="5" t="str">
        <f>IFERROR(VLOOKUP(SAISIE!$I35,REF_COUNTRIES!$A:$B,2,FALSE),"")</f>
        <v/>
      </c>
      <c r="J35" s="5" t="str">
        <f>IFERROR(VLOOKUP(SAISIE!$J35,REF_MATERIALS!$A:$B,2,FALSE),"")</f>
        <v/>
      </c>
      <c r="K35" s="5">
        <f>SAISIE!$K35</f>
        <v>0</v>
      </c>
      <c r="L35" s="5" t="str">
        <f>IFERROR(VLOOKUP(SAISIE!$L35,REF_COUNTRIES!$A:$B,2,FALSE),"")</f>
        <v/>
      </c>
      <c r="M35" s="5" t="str">
        <f>IFERROR(VLOOKUP(SAISIE!$M35,REF_MATERIALS!$A:$B,2,FALSE),"")</f>
        <v/>
      </c>
      <c r="N35" s="5">
        <f>SAISIE!$N35</f>
        <v>0</v>
      </c>
      <c r="O35" s="5" t="str">
        <f>IFERROR(VLOOKUP(SAISIE!$O35,REF_COUNTRIES!$A:$B,2,FALSE),"")</f>
        <v/>
      </c>
      <c r="P35" s="5" t="str">
        <f>IFERROR(VLOOKUP(SAISIE!$P35,REF_MATERIALS!$A:$B,2,FALSE),"")</f>
        <v/>
      </c>
      <c r="Q35" s="5">
        <f>SAISIE!$Q35</f>
        <v>0</v>
      </c>
      <c r="R35" s="5" t="str">
        <f>IFERROR(VLOOKUP(SAISIE!$R35,REF_COUNTRIES!$A:$B,2,FALSE),"")</f>
        <v/>
      </c>
      <c r="S35" s="5" t="str">
        <f>IFERROR(VLOOKUP(SAISIE!$S35,REF_COUNTRIES!$A:$B,2,FALSE),"")</f>
        <v>RNA</v>
      </c>
      <c r="T35" s="5" t="str">
        <f>IFERROR(VLOOKUP(SAISIE!$T35,REF_COUNTRIES!$A:$B,2,FALSE),"")</f>
        <v>REE</v>
      </c>
      <c r="U35" s="5" t="str">
        <f>IFERROR(VLOOKUP(SAISIE!$U35,REF_COUNTRIES!$A:$B,2,FALSE),"")</f>
        <v>VN</v>
      </c>
      <c r="V35" s="5" t="str">
        <f>IFERROR(VLOOKUP(SAISIE!$V35,REF_COUNTRIES!$A:$B,2,FALSE),"")</f>
        <v>RNA</v>
      </c>
    </row>
    <row r="36" spans="1:22" x14ac:dyDescent="0.25">
      <c r="A36" s="5" t="str">
        <f>SAISIE!$A36</f>
        <v>Produit Test 035 - Maillot de bain</v>
      </c>
      <c r="B36" s="5" t="str">
        <f>IFERROR(VLOOKUP(SAISIE!$B36,REF_PRODUCTS!$A:$B,2,FALSE),"")</f>
        <v>maillot-de-bain</v>
      </c>
      <c r="C36" s="5">
        <f>SAISIE!$C36</f>
        <v>0.42</v>
      </c>
      <c r="D36" s="5" t="str">
        <f>IFERROR(VLOOKUP(SAISIE!$D36,REF_MATERIALS!$A:$B,2,FALSE),"")</f>
        <v>0c1a4654-b030-4fe1-86b7-d96ce0b85bb8</v>
      </c>
      <c r="E36" s="5">
        <f>SAISIE!$E36</f>
        <v>0.72</v>
      </c>
      <c r="F36" s="5" t="str">
        <f>IFERROR(VLOOKUP(SAISIE!$F36,REF_COUNTRIES!$A:$B,2,FALSE),"")</f>
        <v>TR</v>
      </c>
      <c r="G36" s="5" t="str">
        <f>IFERROR(VLOOKUP(SAISIE!$G36,REF_MATERIALS!$A:$B,2,FALSE),"")</f>
        <v>d3d20384-88fb-4c75-ac12-c647365ac6c5</v>
      </c>
      <c r="H36" s="5">
        <f>SAISIE!$H36</f>
        <v>0.28000000000000003</v>
      </c>
      <c r="I36" s="5" t="str">
        <f>IFERROR(VLOOKUP(SAISIE!$I36,REF_COUNTRIES!$A:$B,2,FALSE),"")</f>
        <v>---</v>
      </c>
      <c r="J36" s="5" t="str">
        <f>IFERROR(VLOOKUP(SAISIE!$J36,REF_MATERIALS!$A:$B,2,FALSE),"")</f>
        <v/>
      </c>
      <c r="K36" s="5">
        <f>SAISIE!$K36</f>
        <v>0</v>
      </c>
      <c r="L36" s="5" t="str">
        <f>IFERROR(VLOOKUP(SAISIE!$L36,REF_COUNTRIES!$A:$B,2,FALSE),"")</f>
        <v/>
      </c>
      <c r="M36" s="5" t="str">
        <f>IFERROR(VLOOKUP(SAISIE!$M36,REF_MATERIALS!$A:$B,2,FALSE),"")</f>
        <v/>
      </c>
      <c r="N36" s="5">
        <f>SAISIE!$N36</f>
        <v>0</v>
      </c>
      <c r="O36" s="5" t="str">
        <f>IFERROR(VLOOKUP(SAISIE!$O36,REF_COUNTRIES!$A:$B,2,FALSE),"")</f>
        <v/>
      </c>
      <c r="P36" s="5" t="str">
        <f>IFERROR(VLOOKUP(SAISIE!$P36,REF_MATERIALS!$A:$B,2,FALSE),"")</f>
        <v/>
      </c>
      <c r="Q36" s="5">
        <f>SAISIE!$Q36</f>
        <v>0</v>
      </c>
      <c r="R36" s="5" t="str">
        <f>IFERROR(VLOOKUP(SAISIE!$R36,REF_COUNTRIES!$A:$B,2,FALSE),"")</f>
        <v/>
      </c>
      <c r="S36" s="5" t="str">
        <f>IFERROR(VLOOKUP(SAISIE!$S36,REF_COUNTRIES!$A:$B,2,FALSE),"")</f>
        <v>KH</v>
      </c>
      <c r="T36" s="5" t="str">
        <f>IFERROR(VLOOKUP(SAISIE!$T36,REF_COUNTRIES!$A:$B,2,FALSE),"")</f>
        <v>RAS</v>
      </c>
      <c r="U36" s="5" t="str">
        <f>IFERROR(VLOOKUP(SAISIE!$U36,REF_COUNTRIES!$A:$B,2,FALSE),"")</f>
        <v>RLA</v>
      </c>
      <c r="V36" s="5" t="str">
        <f>IFERROR(VLOOKUP(SAISIE!$V36,REF_COUNTRIES!$A:$B,2,FALSE),"")</f>
        <v>RAS</v>
      </c>
    </row>
    <row r="37" spans="1:22" x14ac:dyDescent="0.25">
      <c r="A37" s="5" t="str">
        <f>SAISIE!$A37</f>
        <v>Produit Test 036 - Jean</v>
      </c>
      <c r="B37" s="5" t="str">
        <f>IFERROR(VLOOKUP(SAISIE!$B37,REF_PRODUCTS!$A:$B,2,FALSE),"")</f>
        <v>jean</v>
      </c>
      <c r="C37" s="5">
        <f>SAISIE!$C37</f>
        <v>0.55000000000000004</v>
      </c>
      <c r="D37" s="5" t="str">
        <f>IFERROR(VLOOKUP(SAISIE!$D37,REF_MATERIALS!$A:$B,2,FALSE),"")</f>
        <v>72e29a61-52a9-4eb5-b3fc-5fb87edea041</v>
      </c>
      <c r="E37" s="5">
        <f>SAISIE!$E37</f>
        <v>1</v>
      </c>
      <c r="F37" s="5" t="str">
        <f>IFERROR(VLOOKUP(SAISIE!$F37,REF_COUNTRIES!$A:$B,2,FALSE),"")</f>
        <v>VN</v>
      </c>
      <c r="G37" s="5" t="str">
        <f>IFERROR(VLOOKUP(SAISIE!$G37,REF_MATERIALS!$A:$B,2,FALSE),"")</f>
        <v/>
      </c>
      <c r="H37" s="5">
        <f>SAISIE!$H37</f>
        <v>0</v>
      </c>
      <c r="I37" s="5" t="str">
        <f>IFERROR(VLOOKUP(SAISIE!$I37,REF_COUNTRIES!$A:$B,2,FALSE),"")</f>
        <v/>
      </c>
      <c r="J37" s="5" t="str">
        <f>IFERROR(VLOOKUP(SAISIE!$J37,REF_MATERIALS!$A:$B,2,FALSE),"")</f>
        <v/>
      </c>
      <c r="K37" s="5">
        <f>SAISIE!$K37</f>
        <v>0</v>
      </c>
      <c r="L37" s="5" t="str">
        <f>IFERROR(VLOOKUP(SAISIE!$L37,REF_COUNTRIES!$A:$B,2,FALSE),"")</f>
        <v/>
      </c>
      <c r="M37" s="5" t="str">
        <f>IFERROR(VLOOKUP(SAISIE!$M37,REF_MATERIALS!$A:$B,2,FALSE),"")</f>
        <v/>
      </c>
      <c r="N37" s="5">
        <f>SAISIE!$N37</f>
        <v>0</v>
      </c>
      <c r="O37" s="5" t="str">
        <f>IFERROR(VLOOKUP(SAISIE!$O37,REF_COUNTRIES!$A:$B,2,FALSE),"")</f>
        <v/>
      </c>
      <c r="P37" s="5" t="str">
        <f>IFERROR(VLOOKUP(SAISIE!$P37,REF_MATERIALS!$A:$B,2,FALSE),"")</f>
        <v/>
      </c>
      <c r="Q37" s="5">
        <f>SAISIE!$Q37</f>
        <v>0</v>
      </c>
      <c r="R37" s="5" t="str">
        <f>IFERROR(VLOOKUP(SAISIE!$R37,REF_COUNTRIES!$A:$B,2,FALSE),"")</f>
        <v/>
      </c>
      <c r="S37" s="5" t="str">
        <f>IFERROR(VLOOKUP(SAISIE!$S37,REF_COUNTRIES!$A:$B,2,FALSE),"")</f>
        <v>IN</v>
      </c>
      <c r="T37" s="5" t="str">
        <f>IFERROR(VLOOKUP(SAISIE!$T37,REF_COUNTRIES!$A:$B,2,FALSE),"")</f>
        <v>TR</v>
      </c>
      <c r="U37" s="5" t="str">
        <f>IFERROR(VLOOKUP(SAISIE!$U37,REF_COUNTRIES!$A:$B,2,FALSE),"")</f>
        <v>KH</v>
      </c>
      <c r="V37" s="5" t="str">
        <f>IFERROR(VLOOKUP(SAISIE!$V37,REF_COUNTRIES!$A:$B,2,FALSE),"")</f>
        <v>REE</v>
      </c>
    </row>
    <row r="38" spans="1:22" x14ac:dyDescent="0.25">
      <c r="A38" s="5" t="str">
        <f>SAISIE!$A38</f>
        <v>Produit Test 037 - T-shirt / Polo</v>
      </c>
      <c r="B38" s="5" t="str">
        <f>IFERROR(VLOOKUP(SAISIE!$B38,REF_PRODUCTS!$A:$B,2,FALSE),"")</f>
        <v>tshirt</v>
      </c>
      <c r="C38" s="5">
        <f>SAISIE!$C38</f>
        <v>0.24</v>
      </c>
      <c r="D38" s="5" t="str">
        <f>IFERROR(VLOOKUP(SAISIE!$D38,REF_MATERIALS!$A:$B,2,FALSE),"")</f>
        <v>a09b2677-2900-4417-a202-e5f9a1abcce1</v>
      </c>
      <c r="E38" s="5">
        <f>SAISIE!$E38</f>
        <v>0.9</v>
      </c>
      <c r="F38" s="5" t="str">
        <f>IFERROR(VLOOKUP(SAISIE!$F38,REF_COUNTRIES!$A:$B,2,FALSE),"")</f>
        <v>REO</v>
      </c>
      <c r="G38" s="5" t="str">
        <f>IFERROR(VLOOKUP(SAISIE!$G38,REF_MATERIALS!$A:$B,2,FALSE),"")</f>
        <v>a1c1c2ec-33b1-49d6-bf8e-139e2eb7f097</v>
      </c>
      <c r="H38" s="5">
        <f>SAISIE!$H38</f>
        <v>0.1</v>
      </c>
      <c r="I38" s="5" t="str">
        <f>IFERROR(VLOOKUP(SAISIE!$I38,REF_COUNTRIES!$A:$B,2,FALSE),"")</f>
        <v>CN</v>
      </c>
      <c r="J38" s="5" t="str">
        <f>IFERROR(VLOOKUP(SAISIE!$J38,REF_MATERIALS!$A:$B,2,FALSE),"")</f>
        <v/>
      </c>
      <c r="K38" s="5">
        <f>SAISIE!$K38</f>
        <v>0</v>
      </c>
      <c r="L38" s="5" t="str">
        <f>IFERROR(VLOOKUP(SAISIE!$L38,REF_COUNTRIES!$A:$B,2,FALSE),"")</f>
        <v/>
      </c>
      <c r="M38" s="5" t="str">
        <f>IFERROR(VLOOKUP(SAISIE!$M38,REF_MATERIALS!$A:$B,2,FALSE),"")</f>
        <v/>
      </c>
      <c r="N38" s="5">
        <f>SAISIE!$N38</f>
        <v>0</v>
      </c>
      <c r="O38" s="5" t="str">
        <f>IFERROR(VLOOKUP(SAISIE!$O38,REF_COUNTRIES!$A:$B,2,FALSE),"")</f>
        <v/>
      </c>
      <c r="P38" s="5" t="str">
        <f>IFERROR(VLOOKUP(SAISIE!$P38,REF_MATERIALS!$A:$B,2,FALSE),"")</f>
        <v/>
      </c>
      <c r="Q38" s="5">
        <f>SAISIE!$Q38</f>
        <v>0</v>
      </c>
      <c r="R38" s="5" t="str">
        <f>IFERROR(VLOOKUP(SAISIE!$R38,REF_COUNTRIES!$A:$B,2,FALSE),"")</f>
        <v/>
      </c>
      <c r="S38" s="5" t="str">
        <f>IFERROR(VLOOKUP(SAISIE!$S38,REF_COUNTRIES!$A:$B,2,FALSE),"")</f>
        <v>BD</v>
      </c>
      <c r="T38" s="5" t="str">
        <f>IFERROR(VLOOKUP(SAISIE!$T38,REF_COUNTRIES!$A:$B,2,FALSE),"")</f>
        <v>REO</v>
      </c>
      <c r="U38" s="5" t="str">
        <f>IFERROR(VLOOKUP(SAISIE!$U38,REF_COUNTRIES!$A:$B,2,FALSE),"")</f>
        <v>MM</v>
      </c>
      <c r="V38" s="5" t="str">
        <f>IFERROR(VLOOKUP(SAISIE!$V38,REF_COUNTRIES!$A:$B,2,FALSE),"")</f>
        <v>ROC</v>
      </c>
    </row>
    <row r="39" spans="1:22" x14ac:dyDescent="0.25">
      <c r="A39" s="5" t="str">
        <f>SAISIE!$A39</f>
        <v>Produit Test 038 - Jean</v>
      </c>
      <c r="B39" s="5" t="str">
        <f>IFERROR(VLOOKUP(SAISIE!$B39,REF_PRODUCTS!$A:$B,2,FALSE),"")</f>
        <v>jean</v>
      </c>
      <c r="C39" s="5">
        <f>SAISIE!$C39</f>
        <v>0.53</v>
      </c>
      <c r="D39" s="5" t="str">
        <f>IFERROR(VLOOKUP(SAISIE!$D39,REF_MATERIALS!$A:$B,2,FALSE),"")</f>
        <v>9973088b-c929-4cc5-894a-1e4d28c161d4</v>
      </c>
      <c r="E39" s="5">
        <f>SAISIE!$E39</f>
        <v>0.69</v>
      </c>
      <c r="F39" s="5" t="str">
        <f>IFERROR(VLOOKUP(SAISIE!$F39,REF_COUNTRIES!$A:$B,2,FALSE),"")</f>
        <v>REO</v>
      </c>
      <c r="G39" s="5" t="str">
        <f>IFERROR(VLOOKUP(SAISIE!$G39,REF_MATERIALS!$A:$B,2,FALSE),"")</f>
        <v>c087d394-5901-4b03-ba7a-7d4b0db0490c</v>
      </c>
      <c r="H39" s="5">
        <f>SAISIE!$H39</f>
        <v>0.31</v>
      </c>
      <c r="I39" s="5" t="str">
        <f>IFERROR(VLOOKUP(SAISIE!$I39,REF_COUNTRIES!$A:$B,2,FALSE),"")</f>
        <v>FR</v>
      </c>
      <c r="J39" s="5" t="str">
        <f>IFERROR(VLOOKUP(SAISIE!$J39,REF_MATERIALS!$A:$B,2,FALSE),"")</f>
        <v/>
      </c>
      <c r="K39" s="5">
        <f>SAISIE!$K39</f>
        <v>0</v>
      </c>
      <c r="L39" s="5" t="str">
        <f>IFERROR(VLOOKUP(SAISIE!$L39,REF_COUNTRIES!$A:$B,2,FALSE),"")</f>
        <v/>
      </c>
      <c r="M39" s="5" t="str">
        <f>IFERROR(VLOOKUP(SAISIE!$M39,REF_MATERIALS!$A:$B,2,FALSE),"")</f>
        <v/>
      </c>
      <c r="N39" s="5">
        <f>SAISIE!$N39</f>
        <v>0</v>
      </c>
      <c r="O39" s="5" t="str">
        <f>IFERROR(VLOOKUP(SAISIE!$O39,REF_COUNTRIES!$A:$B,2,FALSE),"")</f>
        <v/>
      </c>
      <c r="P39" s="5" t="str">
        <f>IFERROR(VLOOKUP(SAISIE!$P39,REF_MATERIALS!$A:$B,2,FALSE),"")</f>
        <v/>
      </c>
      <c r="Q39" s="5">
        <f>SAISIE!$Q39</f>
        <v>0</v>
      </c>
      <c r="R39" s="5" t="str">
        <f>IFERROR(VLOOKUP(SAISIE!$R39,REF_COUNTRIES!$A:$B,2,FALSE),"")</f>
        <v/>
      </c>
      <c r="S39" s="5" t="str">
        <f>IFERROR(VLOOKUP(SAISIE!$S39,REF_COUNTRIES!$A:$B,2,FALSE),"")</f>
        <v>MA</v>
      </c>
      <c r="T39" s="5" t="str">
        <f>IFERROR(VLOOKUP(SAISIE!$T39,REF_COUNTRIES!$A:$B,2,FALSE),"")</f>
        <v>MM</v>
      </c>
      <c r="U39" s="5" t="str">
        <f>IFERROR(VLOOKUP(SAISIE!$U39,REF_COUNTRIES!$A:$B,2,FALSE),"")</f>
        <v>PK</v>
      </c>
      <c r="V39" s="5" t="str">
        <f>IFERROR(VLOOKUP(SAISIE!$V39,REF_COUNTRIES!$A:$B,2,FALSE),"")</f>
        <v>RME</v>
      </c>
    </row>
    <row r="40" spans="1:22" x14ac:dyDescent="0.25">
      <c r="A40" s="5" t="str">
        <f>SAISIE!$A40</f>
        <v>Produit Test 039 - Jean</v>
      </c>
      <c r="B40" s="5" t="str">
        <f>IFERROR(VLOOKUP(SAISIE!$B40,REF_PRODUCTS!$A:$B,2,FALSE),"")</f>
        <v>jean</v>
      </c>
      <c r="C40" s="5">
        <f>SAISIE!$C40</f>
        <v>0.81</v>
      </c>
      <c r="D40" s="5" t="str">
        <f>IFERROR(VLOOKUP(SAISIE!$D40,REF_MATERIALS!$A:$B,2,FALSE),"")</f>
        <v>62a4d6fb-3276-4ba5-93a3-889ecd3bff84</v>
      </c>
      <c r="E40" s="5">
        <f>SAISIE!$E40</f>
        <v>0.52</v>
      </c>
      <c r="F40" s="5" t="str">
        <f>IFERROR(VLOOKUP(SAISIE!$F40,REF_COUNTRIES!$A:$B,2,FALSE),"")</f>
        <v>RME</v>
      </c>
      <c r="G40" s="5" t="str">
        <f>IFERROR(VLOOKUP(SAISIE!$G40,REF_MATERIALS!$A:$B,2,FALSE),"")</f>
        <v>1fc3e17d-5661-429d-a150-7986eae16d9d</v>
      </c>
      <c r="H40" s="5">
        <f>SAISIE!$H40</f>
        <v>0.48</v>
      </c>
      <c r="I40" s="5" t="str">
        <f>IFERROR(VLOOKUP(SAISIE!$I40,REF_COUNTRIES!$A:$B,2,FALSE),"")</f>
        <v>RNA</v>
      </c>
      <c r="J40" s="5" t="str">
        <f>IFERROR(VLOOKUP(SAISIE!$J40,REF_MATERIALS!$A:$B,2,FALSE),"")</f>
        <v/>
      </c>
      <c r="K40" s="5">
        <f>SAISIE!$K40</f>
        <v>0</v>
      </c>
      <c r="L40" s="5" t="str">
        <f>IFERROR(VLOOKUP(SAISIE!$L40,REF_COUNTRIES!$A:$B,2,FALSE),"")</f>
        <v/>
      </c>
      <c r="M40" s="5" t="str">
        <f>IFERROR(VLOOKUP(SAISIE!$M40,REF_MATERIALS!$A:$B,2,FALSE),"")</f>
        <v/>
      </c>
      <c r="N40" s="5">
        <f>SAISIE!$N40</f>
        <v>0</v>
      </c>
      <c r="O40" s="5" t="str">
        <f>IFERROR(VLOOKUP(SAISIE!$O40,REF_COUNTRIES!$A:$B,2,FALSE),"")</f>
        <v/>
      </c>
      <c r="P40" s="5" t="str">
        <f>IFERROR(VLOOKUP(SAISIE!$P40,REF_MATERIALS!$A:$B,2,FALSE),"")</f>
        <v/>
      </c>
      <c r="Q40" s="5">
        <f>SAISIE!$Q40</f>
        <v>0</v>
      </c>
      <c r="R40" s="5" t="str">
        <f>IFERROR(VLOOKUP(SAISIE!$R40,REF_COUNTRIES!$A:$B,2,FALSE),"")</f>
        <v/>
      </c>
      <c r="S40" s="5" t="str">
        <f>IFERROR(VLOOKUP(SAISIE!$S40,REF_COUNTRIES!$A:$B,2,FALSE),"")</f>
        <v>MA</v>
      </c>
      <c r="T40" s="5" t="str">
        <f>IFERROR(VLOOKUP(SAISIE!$T40,REF_COUNTRIES!$A:$B,2,FALSE),"")</f>
        <v>RAF</v>
      </c>
      <c r="U40" s="5" t="str">
        <f>IFERROR(VLOOKUP(SAISIE!$U40,REF_COUNTRIES!$A:$B,2,FALSE),"")</f>
        <v>RAF</v>
      </c>
      <c r="V40" s="5" t="str">
        <f>IFERROR(VLOOKUP(SAISIE!$V40,REF_COUNTRIES!$A:$B,2,FALSE),"")</f>
        <v>RLA</v>
      </c>
    </row>
    <row r="41" spans="1:22" x14ac:dyDescent="0.25">
      <c r="A41" s="5" t="str">
        <f>SAISIE!$A41</f>
        <v>Produit Test 040 - Pull</v>
      </c>
      <c r="B41" s="5" t="str">
        <f>IFERROR(VLOOKUP(SAISIE!$B41,REF_PRODUCTS!$A:$B,2,FALSE),"")</f>
        <v>pull</v>
      </c>
      <c r="C41" s="5">
        <f>SAISIE!$C41</f>
        <v>0.49</v>
      </c>
      <c r="D41" s="5" t="str">
        <f>IFERROR(VLOOKUP(SAISIE!$D41,REF_MATERIALS!$A:$B,2,FALSE),"")</f>
        <v>d3d20384-88fb-4c75-ac12-c647365ac6c5</v>
      </c>
      <c r="E41" s="5">
        <f>SAISIE!$E41</f>
        <v>1</v>
      </c>
      <c r="F41" s="5" t="str">
        <f>IFERROR(VLOOKUP(SAISIE!$F41,REF_COUNTRIES!$A:$B,2,FALSE),"")</f>
        <v>FR</v>
      </c>
      <c r="G41" s="5" t="str">
        <f>IFERROR(VLOOKUP(SAISIE!$G41,REF_MATERIALS!$A:$B,2,FALSE),"")</f>
        <v/>
      </c>
      <c r="H41" s="5">
        <f>SAISIE!$H41</f>
        <v>0</v>
      </c>
      <c r="I41" s="5" t="str">
        <f>IFERROR(VLOOKUP(SAISIE!$I41,REF_COUNTRIES!$A:$B,2,FALSE),"")</f>
        <v/>
      </c>
      <c r="J41" s="5" t="str">
        <f>IFERROR(VLOOKUP(SAISIE!$J41,REF_MATERIALS!$A:$B,2,FALSE),"")</f>
        <v/>
      </c>
      <c r="K41" s="5">
        <f>SAISIE!$K41</f>
        <v>0</v>
      </c>
      <c r="L41" s="5" t="str">
        <f>IFERROR(VLOOKUP(SAISIE!$L41,REF_COUNTRIES!$A:$B,2,FALSE),"")</f>
        <v/>
      </c>
      <c r="M41" s="5" t="str">
        <f>IFERROR(VLOOKUP(SAISIE!$M41,REF_MATERIALS!$A:$B,2,FALSE),"")</f>
        <v/>
      </c>
      <c r="N41" s="5">
        <f>SAISIE!$N41</f>
        <v>0</v>
      </c>
      <c r="O41" s="5" t="str">
        <f>IFERROR(VLOOKUP(SAISIE!$O41,REF_COUNTRIES!$A:$B,2,FALSE),"")</f>
        <v/>
      </c>
      <c r="P41" s="5" t="str">
        <f>IFERROR(VLOOKUP(SAISIE!$P41,REF_MATERIALS!$A:$B,2,FALSE),"")</f>
        <v/>
      </c>
      <c r="Q41" s="5">
        <f>SAISIE!$Q41</f>
        <v>0</v>
      </c>
      <c r="R41" s="5" t="str">
        <f>IFERROR(VLOOKUP(SAISIE!$R41,REF_COUNTRIES!$A:$B,2,FALSE),"")</f>
        <v/>
      </c>
      <c r="S41" s="5" t="str">
        <f>IFERROR(VLOOKUP(SAISIE!$S41,REF_COUNTRIES!$A:$B,2,FALSE),"")</f>
        <v>MA</v>
      </c>
      <c r="T41" s="5" t="str">
        <f>IFERROR(VLOOKUP(SAISIE!$T41,REF_COUNTRIES!$A:$B,2,FALSE),"")</f>
        <v>RLA</v>
      </c>
      <c r="U41" s="5" t="str">
        <f>IFERROR(VLOOKUP(SAISIE!$U41,REF_COUNTRIES!$A:$B,2,FALSE),"")</f>
        <v>RAF</v>
      </c>
      <c r="V41" s="5" t="str">
        <f>IFERROR(VLOOKUP(SAISIE!$V41,REF_COUNTRIES!$A:$B,2,FALSE),"")</f>
        <v>MM</v>
      </c>
    </row>
    <row r="42" spans="1:22" x14ac:dyDescent="0.25">
      <c r="A42" s="5" t="str">
        <f>SAISIE!$A42</f>
        <v>Produit Test 041 - Jupe / Robe</v>
      </c>
      <c r="B42" s="5" t="str">
        <f>IFERROR(VLOOKUP(SAISIE!$B42,REF_PRODUCTS!$A:$B,2,FALSE),"")</f>
        <v>jupe</v>
      </c>
      <c r="C42" s="5">
        <f>SAISIE!$C42</f>
        <v>0.19</v>
      </c>
      <c r="D42" s="5" t="str">
        <f>IFERROR(VLOOKUP(SAISIE!$D42,REF_MATERIALS!$A:$B,2,FALSE),"")</f>
        <v>a09b2677-2900-4417-a202-e5f9a1abcce1</v>
      </c>
      <c r="E42" s="5">
        <f>SAISIE!$E42</f>
        <v>1</v>
      </c>
      <c r="F42" s="5" t="str">
        <f>IFERROR(VLOOKUP(SAISIE!$F42,REF_COUNTRIES!$A:$B,2,FALSE),"")</f>
        <v>VN</v>
      </c>
      <c r="G42" s="5" t="str">
        <f>IFERROR(VLOOKUP(SAISIE!$G42,REF_MATERIALS!$A:$B,2,FALSE),"")</f>
        <v/>
      </c>
      <c r="H42" s="5">
        <f>SAISIE!$H42</f>
        <v>0</v>
      </c>
      <c r="I42" s="5" t="str">
        <f>IFERROR(VLOOKUP(SAISIE!$I42,REF_COUNTRIES!$A:$B,2,FALSE),"")</f>
        <v/>
      </c>
      <c r="J42" s="5" t="str">
        <f>IFERROR(VLOOKUP(SAISIE!$J42,REF_MATERIALS!$A:$B,2,FALSE),"")</f>
        <v/>
      </c>
      <c r="K42" s="5">
        <f>SAISIE!$K42</f>
        <v>0</v>
      </c>
      <c r="L42" s="5" t="str">
        <f>IFERROR(VLOOKUP(SAISIE!$L42,REF_COUNTRIES!$A:$B,2,FALSE),"")</f>
        <v/>
      </c>
      <c r="M42" s="5" t="str">
        <f>IFERROR(VLOOKUP(SAISIE!$M42,REF_MATERIALS!$A:$B,2,FALSE),"")</f>
        <v/>
      </c>
      <c r="N42" s="5">
        <f>SAISIE!$N42</f>
        <v>0</v>
      </c>
      <c r="O42" s="5" t="str">
        <f>IFERROR(VLOOKUP(SAISIE!$O42,REF_COUNTRIES!$A:$B,2,FALSE),"")</f>
        <v/>
      </c>
      <c r="P42" s="5" t="str">
        <f>IFERROR(VLOOKUP(SAISIE!$P42,REF_MATERIALS!$A:$B,2,FALSE),"")</f>
        <v/>
      </c>
      <c r="Q42" s="5">
        <f>SAISIE!$Q42</f>
        <v>0</v>
      </c>
      <c r="R42" s="5" t="str">
        <f>IFERROR(VLOOKUP(SAISIE!$R42,REF_COUNTRIES!$A:$B,2,FALSE),"")</f>
        <v/>
      </c>
      <c r="S42" s="5" t="str">
        <f>IFERROR(VLOOKUP(SAISIE!$S42,REF_COUNTRIES!$A:$B,2,FALSE),"")</f>
        <v>VN</v>
      </c>
      <c r="T42" s="5" t="str">
        <f>IFERROR(VLOOKUP(SAISIE!$T42,REF_COUNTRIES!$A:$B,2,FALSE),"")</f>
        <v>---</v>
      </c>
      <c r="U42" s="5" t="str">
        <f>IFERROR(VLOOKUP(SAISIE!$U42,REF_COUNTRIES!$A:$B,2,FALSE),"")</f>
        <v>REE</v>
      </c>
      <c r="V42" s="5" t="str">
        <f>IFERROR(VLOOKUP(SAISIE!$V42,REF_COUNTRIES!$A:$B,2,FALSE),"")</f>
        <v>TN</v>
      </c>
    </row>
    <row r="43" spans="1:22" x14ac:dyDescent="0.25">
      <c r="A43" s="5" t="str">
        <f>SAISIE!$A43</f>
        <v>Produit Test 042 - Boxer / Slip (tricoté)</v>
      </c>
      <c r="B43" s="5" t="str">
        <f>IFERROR(VLOOKUP(SAISIE!$B43,REF_PRODUCTS!$A:$B,2,FALSE),"")</f>
        <v>slip</v>
      </c>
      <c r="C43" s="5">
        <f>SAISIE!$C43</f>
        <v>0.33</v>
      </c>
      <c r="D43" s="5" t="str">
        <f>IFERROR(VLOOKUP(SAISIE!$D43,REF_MATERIALS!$A:$B,2,FALSE),"")</f>
        <v>72e29a61-52a9-4eb5-b3fc-5fb87edea041</v>
      </c>
      <c r="E43" s="5">
        <f>SAISIE!$E43</f>
        <v>0.5</v>
      </c>
      <c r="F43" s="5" t="str">
        <f>IFERROR(VLOOKUP(SAISIE!$F43,REF_COUNTRIES!$A:$B,2,FALSE),"")</f>
        <v>MA</v>
      </c>
      <c r="G43" s="5" t="str">
        <f>IFERROR(VLOOKUP(SAISIE!$G43,REF_MATERIALS!$A:$B,2,FALSE),"")</f>
        <v>c84280ff-e921-4d5c-92d6-51030bf4f74e</v>
      </c>
      <c r="H43" s="5">
        <f>SAISIE!$H43</f>
        <v>0.5</v>
      </c>
      <c r="I43" s="5" t="str">
        <f>IFERROR(VLOOKUP(SAISIE!$I43,REF_COUNTRIES!$A:$B,2,FALSE),"")</f>
        <v>REO</v>
      </c>
      <c r="J43" s="5" t="str">
        <f>IFERROR(VLOOKUP(SAISIE!$J43,REF_MATERIALS!$A:$B,2,FALSE),"")</f>
        <v/>
      </c>
      <c r="K43" s="5">
        <f>SAISIE!$K43</f>
        <v>0</v>
      </c>
      <c r="L43" s="5" t="str">
        <f>IFERROR(VLOOKUP(SAISIE!$L43,REF_COUNTRIES!$A:$B,2,FALSE),"")</f>
        <v/>
      </c>
      <c r="M43" s="5" t="str">
        <f>IFERROR(VLOOKUP(SAISIE!$M43,REF_MATERIALS!$A:$B,2,FALSE),"")</f>
        <v/>
      </c>
      <c r="N43" s="5">
        <f>SAISIE!$N43</f>
        <v>0</v>
      </c>
      <c r="O43" s="5" t="str">
        <f>IFERROR(VLOOKUP(SAISIE!$O43,REF_COUNTRIES!$A:$B,2,FALSE),"")</f>
        <v/>
      </c>
      <c r="P43" s="5" t="str">
        <f>IFERROR(VLOOKUP(SAISIE!$P43,REF_MATERIALS!$A:$B,2,FALSE),"")</f>
        <v/>
      </c>
      <c r="Q43" s="5">
        <f>SAISIE!$Q43</f>
        <v>0</v>
      </c>
      <c r="R43" s="5" t="str">
        <f>IFERROR(VLOOKUP(SAISIE!$R43,REF_COUNTRIES!$A:$B,2,FALSE),"")</f>
        <v/>
      </c>
      <c r="S43" s="5" t="str">
        <f>IFERROR(VLOOKUP(SAISIE!$S43,REF_COUNTRIES!$A:$B,2,FALSE),"")</f>
        <v>RLA</v>
      </c>
      <c r="T43" s="5" t="str">
        <f>IFERROR(VLOOKUP(SAISIE!$T43,REF_COUNTRIES!$A:$B,2,FALSE),"")</f>
        <v>PK</v>
      </c>
      <c r="U43" s="5" t="str">
        <f>IFERROR(VLOOKUP(SAISIE!$U43,REF_COUNTRIES!$A:$B,2,FALSE),"")</f>
        <v>REE</v>
      </c>
      <c r="V43" s="5" t="str">
        <f>IFERROR(VLOOKUP(SAISIE!$V43,REF_COUNTRIES!$A:$B,2,FALSE),"")</f>
        <v>MA</v>
      </c>
    </row>
    <row r="44" spans="1:22" x14ac:dyDescent="0.25">
      <c r="A44" s="5" t="str">
        <f>SAISIE!$A44</f>
        <v>Produit Test 043 - Maillot de bain</v>
      </c>
      <c r="B44" s="5" t="str">
        <f>IFERROR(VLOOKUP(SAISIE!$B44,REF_PRODUCTS!$A:$B,2,FALSE),"")</f>
        <v>maillot-de-bain</v>
      </c>
      <c r="C44" s="5">
        <f>SAISIE!$C44</f>
        <v>0.23</v>
      </c>
      <c r="D44" s="5" t="str">
        <f>IFERROR(VLOOKUP(SAISIE!$D44,REF_MATERIALS!$A:$B,2,FALSE),"")</f>
        <v>457e9b0d-9eda-4dca-b199-deeb0a154fa9</v>
      </c>
      <c r="E44" s="5">
        <f>SAISIE!$E44</f>
        <v>1</v>
      </c>
      <c r="F44" s="5" t="str">
        <f>IFERROR(VLOOKUP(SAISIE!$F44,REF_COUNTRIES!$A:$B,2,FALSE),"")</f>
        <v>TN</v>
      </c>
      <c r="G44" s="5" t="str">
        <f>IFERROR(VLOOKUP(SAISIE!$G44,REF_MATERIALS!$A:$B,2,FALSE),"")</f>
        <v/>
      </c>
      <c r="H44" s="5">
        <f>SAISIE!$H44</f>
        <v>0</v>
      </c>
      <c r="I44" s="5" t="str">
        <f>IFERROR(VLOOKUP(SAISIE!$I44,REF_COUNTRIES!$A:$B,2,FALSE),"")</f>
        <v/>
      </c>
      <c r="J44" s="5" t="str">
        <f>IFERROR(VLOOKUP(SAISIE!$J44,REF_MATERIALS!$A:$B,2,FALSE),"")</f>
        <v/>
      </c>
      <c r="K44" s="5">
        <f>SAISIE!$K44</f>
        <v>0</v>
      </c>
      <c r="L44" s="5" t="str">
        <f>IFERROR(VLOOKUP(SAISIE!$L44,REF_COUNTRIES!$A:$B,2,FALSE),"")</f>
        <v/>
      </c>
      <c r="M44" s="5" t="str">
        <f>IFERROR(VLOOKUP(SAISIE!$M44,REF_MATERIALS!$A:$B,2,FALSE),"")</f>
        <v/>
      </c>
      <c r="N44" s="5">
        <f>SAISIE!$N44</f>
        <v>0</v>
      </c>
      <c r="O44" s="5" t="str">
        <f>IFERROR(VLOOKUP(SAISIE!$O44,REF_COUNTRIES!$A:$B,2,FALSE),"")</f>
        <v/>
      </c>
      <c r="P44" s="5" t="str">
        <f>IFERROR(VLOOKUP(SAISIE!$P44,REF_MATERIALS!$A:$B,2,FALSE),"")</f>
        <v/>
      </c>
      <c r="Q44" s="5">
        <f>SAISIE!$Q44</f>
        <v>0</v>
      </c>
      <c r="R44" s="5" t="str">
        <f>IFERROR(VLOOKUP(SAISIE!$R44,REF_COUNTRIES!$A:$B,2,FALSE),"")</f>
        <v/>
      </c>
      <c r="S44" s="5" t="str">
        <f>IFERROR(VLOOKUP(SAISIE!$S44,REF_COUNTRIES!$A:$B,2,FALSE),"")</f>
        <v>PK</v>
      </c>
      <c r="T44" s="5" t="str">
        <f>IFERROR(VLOOKUP(SAISIE!$T44,REF_COUNTRIES!$A:$B,2,FALSE),"")</f>
        <v>PK</v>
      </c>
      <c r="U44" s="5" t="str">
        <f>IFERROR(VLOOKUP(SAISIE!$U44,REF_COUNTRIES!$A:$B,2,FALSE),"")</f>
        <v>VN</v>
      </c>
      <c r="V44" s="5" t="str">
        <f>IFERROR(VLOOKUP(SAISIE!$V44,REF_COUNTRIES!$A:$B,2,FALSE),"")</f>
        <v>RAF</v>
      </c>
    </row>
    <row r="45" spans="1:22" x14ac:dyDescent="0.25">
      <c r="A45" s="5" t="str">
        <f>SAISIE!$A45</f>
        <v>Produit Test 044 - Maillot de bain</v>
      </c>
      <c r="B45" s="5" t="str">
        <f>IFERROR(VLOOKUP(SAISIE!$B45,REF_PRODUCTS!$A:$B,2,FALSE),"")</f>
        <v>maillot-de-bain</v>
      </c>
      <c r="C45" s="5">
        <f>SAISIE!$C45</f>
        <v>0.24</v>
      </c>
      <c r="D45" s="5" t="str">
        <f>IFERROR(VLOOKUP(SAISIE!$D45,REF_MATERIALS!$A:$B,2,FALSE),"")</f>
        <v>a52e486c-b67e-40af-8337-e8143cbf9076</v>
      </c>
      <c r="E45" s="5">
        <f>SAISIE!$E45</f>
        <v>1</v>
      </c>
      <c r="F45" s="5" t="str">
        <f>IFERROR(VLOOKUP(SAISIE!$F45,REF_COUNTRIES!$A:$B,2,FALSE),"")</f>
        <v>RLA</v>
      </c>
      <c r="G45" s="5" t="str">
        <f>IFERROR(VLOOKUP(SAISIE!$G45,REF_MATERIALS!$A:$B,2,FALSE),"")</f>
        <v/>
      </c>
      <c r="H45" s="5">
        <f>SAISIE!$H45</f>
        <v>0</v>
      </c>
      <c r="I45" s="5" t="str">
        <f>IFERROR(VLOOKUP(SAISIE!$I45,REF_COUNTRIES!$A:$B,2,FALSE),"")</f>
        <v/>
      </c>
      <c r="J45" s="5" t="str">
        <f>IFERROR(VLOOKUP(SAISIE!$J45,REF_MATERIALS!$A:$B,2,FALSE),"")</f>
        <v/>
      </c>
      <c r="K45" s="5">
        <f>SAISIE!$K45</f>
        <v>0</v>
      </c>
      <c r="L45" s="5" t="str">
        <f>IFERROR(VLOOKUP(SAISIE!$L45,REF_COUNTRIES!$A:$B,2,FALSE),"")</f>
        <v/>
      </c>
      <c r="M45" s="5" t="str">
        <f>IFERROR(VLOOKUP(SAISIE!$M45,REF_MATERIALS!$A:$B,2,FALSE),"")</f>
        <v/>
      </c>
      <c r="N45" s="5">
        <f>SAISIE!$N45</f>
        <v>0</v>
      </c>
      <c r="O45" s="5" t="str">
        <f>IFERROR(VLOOKUP(SAISIE!$O45,REF_COUNTRIES!$A:$B,2,FALSE),"")</f>
        <v/>
      </c>
      <c r="P45" s="5" t="str">
        <f>IFERROR(VLOOKUP(SAISIE!$P45,REF_MATERIALS!$A:$B,2,FALSE),"")</f>
        <v/>
      </c>
      <c r="Q45" s="5">
        <f>SAISIE!$Q45</f>
        <v>0</v>
      </c>
      <c r="R45" s="5" t="str">
        <f>IFERROR(VLOOKUP(SAISIE!$R45,REF_COUNTRIES!$A:$B,2,FALSE),"")</f>
        <v/>
      </c>
      <c r="S45" s="5" t="str">
        <f>IFERROR(VLOOKUP(SAISIE!$S45,REF_COUNTRIES!$A:$B,2,FALSE),"")</f>
        <v>FR</v>
      </c>
      <c r="T45" s="5" t="str">
        <f>IFERROR(VLOOKUP(SAISIE!$T45,REF_COUNTRIES!$A:$B,2,FALSE),"")</f>
        <v>---</v>
      </c>
      <c r="U45" s="5" t="str">
        <f>IFERROR(VLOOKUP(SAISIE!$U45,REF_COUNTRIES!$A:$B,2,FALSE),"")</f>
        <v>RAF</v>
      </c>
      <c r="V45" s="5" t="str">
        <f>IFERROR(VLOOKUP(SAISIE!$V45,REF_COUNTRIES!$A:$B,2,FALSE),"")</f>
        <v>CN</v>
      </c>
    </row>
    <row r="46" spans="1:22" x14ac:dyDescent="0.25">
      <c r="A46" s="5" t="str">
        <f>SAISIE!$A46</f>
        <v>Produit Test 045 - Jean</v>
      </c>
      <c r="B46" s="5" t="str">
        <f>IFERROR(VLOOKUP(SAISIE!$B46,REF_PRODUCTS!$A:$B,2,FALSE),"")</f>
        <v>jean</v>
      </c>
      <c r="C46" s="5">
        <f>SAISIE!$C46</f>
        <v>0.78</v>
      </c>
      <c r="D46" s="5" t="str">
        <f>IFERROR(VLOOKUP(SAISIE!$D46,REF_MATERIALS!$A:$B,2,FALSE),"")</f>
        <v>1fc3e17d-5661-429d-a150-7986eae16d9d</v>
      </c>
      <c r="E46" s="5">
        <f>SAISIE!$E46</f>
        <v>1</v>
      </c>
      <c r="F46" s="5" t="str">
        <f>IFERROR(VLOOKUP(SAISIE!$F46,REF_COUNTRIES!$A:$B,2,FALSE),"")</f>
        <v>RNA</v>
      </c>
      <c r="G46" s="5" t="str">
        <f>IFERROR(VLOOKUP(SAISIE!$G46,REF_MATERIALS!$A:$B,2,FALSE),"")</f>
        <v/>
      </c>
      <c r="H46" s="5">
        <f>SAISIE!$H46</f>
        <v>0</v>
      </c>
      <c r="I46" s="5" t="str">
        <f>IFERROR(VLOOKUP(SAISIE!$I46,REF_COUNTRIES!$A:$B,2,FALSE),"")</f>
        <v/>
      </c>
      <c r="J46" s="5" t="str">
        <f>IFERROR(VLOOKUP(SAISIE!$J46,REF_MATERIALS!$A:$B,2,FALSE),"")</f>
        <v/>
      </c>
      <c r="K46" s="5">
        <f>SAISIE!$K46</f>
        <v>0</v>
      </c>
      <c r="L46" s="5" t="str">
        <f>IFERROR(VLOOKUP(SAISIE!$L46,REF_COUNTRIES!$A:$B,2,FALSE),"")</f>
        <v/>
      </c>
      <c r="M46" s="5" t="str">
        <f>IFERROR(VLOOKUP(SAISIE!$M46,REF_MATERIALS!$A:$B,2,FALSE),"")</f>
        <v/>
      </c>
      <c r="N46" s="5">
        <f>SAISIE!$N46</f>
        <v>0</v>
      </c>
      <c r="O46" s="5" t="str">
        <f>IFERROR(VLOOKUP(SAISIE!$O46,REF_COUNTRIES!$A:$B,2,FALSE),"")</f>
        <v/>
      </c>
      <c r="P46" s="5" t="str">
        <f>IFERROR(VLOOKUP(SAISIE!$P46,REF_MATERIALS!$A:$B,2,FALSE),"")</f>
        <v/>
      </c>
      <c r="Q46" s="5">
        <f>SAISIE!$Q46</f>
        <v>0</v>
      </c>
      <c r="R46" s="5" t="str">
        <f>IFERROR(VLOOKUP(SAISIE!$R46,REF_COUNTRIES!$A:$B,2,FALSE),"")</f>
        <v/>
      </c>
      <c r="S46" s="5" t="str">
        <f>IFERROR(VLOOKUP(SAISIE!$S46,REF_COUNTRIES!$A:$B,2,FALSE),"")</f>
        <v>MA</v>
      </c>
      <c r="T46" s="5" t="str">
        <f>IFERROR(VLOOKUP(SAISIE!$T46,REF_COUNTRIES!$A:$B,2,FALSE),"")</f>
        <v>IN</v>
      </c>
      <c r="U46" s="5" t="str">
        <f>IFERROR(VLOOKUP(SAISIE!$U46,REF_COUNTRIES!$A:$B,2,FALSE),"")</f>
        <v>TR</v>
      </c>
      <c r="V46" s="5" t="str">
        <f>IFERROR(VLOOKUP(SAISIE!$V46,REF_COUNTRIES!$A:$B,2,FALSE),"")</f>
        <v>RLA</v>
      </c>
    </row>
    <row r="47" spans="1:22" x14ac:dyDescent="0.25">
      <c r="A47" s="5" t="str">
        <f>SAISIE!$A47</f>
        <v>Produit Test 046 - Boxer / Slip (tricoté)</v>
      </c>
      <c r="B47" s="5" t="str">
        <f>IFERROR(VLOOKUP(SAISIE!$B47,REF_PRODUCTS!$A:$B,2,FALSE),"")</f>
        <v>slip</v>
      </c>
      <c r="C47" s="5">
        <f>SAISIE!$C47</f>
        <v>0.43</v>
      </c>
      <c r="D47" s="5" t="str">
        <f>IFERROR(VLOOKUP(SAISIE!$D47,REF_MATERIALS!$A:$B,2,FALSE),"")</f>
        <v>0c1a4654-b030-4fe1-86b7-d96ce0b85bb8</v>
      </c>
      <c r="E47" s="5">
        <f>SAISIE!$E47</f>
        <v>0.82</v>
      </c>
      <c r="F47" s="5" t="str">
        <f>IFERROR(VLOOKUP(SAISIE!$F47,REF_COUNTRIES!$A:$B,2,FALSE),"")</f>
        <v>RAF</v>
      </c>
      <c r="G47" s="5" t="str">
        <f>IFERROR(VLOOKUP(SAISIE!$G47,REF_MATERIALS!$A:$B,2,FALSE),"")</f>
        <v>62a4d6fb-3276-4ba5-93a3-889ecd3bff84</v>
      </c>
      <c r="H47" s="5">
        <f>SAISIE!$H47</f>
        <v>0.18</v>
      </c>
      <c r="I47" s="5" t="str">
        <f>IFERROR(VLOOKUP(SAISIE!$I47,REF_COUNTRIES!$A:$B,2,FALSE),"")</f>
        <v>---</v>
      </c>
      <c r="J47" s="5" t="str">
        <f>IFERROR(VLOOKUP(SAISIE!$J47,REF_MATERIALS!$A:$B,2,FALSE),"")</f>
        <v/>
      </c>
      <c r="K47" s="5">
        <f>SAISIE!$K47</f>
        <v>0</v>
      </c>
      <c r="L47" s="5" t="str">
        <f>IFERROR(VLOOKUP(SAISIE!$L47,REF_COUNTRIES!$A:$B,2,FALSE),"")</f>
        <v/>
      </c>
      <c r="M47" s="5" t="str">
        <f>IFERROR(VLOOKUP(SAISIE!$M47,REF_MATERIALS!$A:$B,2,FALSE),"")</f>
        <v/>
      </c>
      <c r="N47" s="5">
        <f>SAISIE!$N47</f>
        <v>0</v>
      </c>
      <c r="O47" s="5" t="str">
        <f>IFERROR(VLOOKUP(SAISIE!$O47,REF_COUNTRIES!$A:$B,2,FALSE),"")</f>
        <v/>
      </c>
      <c r="P47" s="5" t="str">
        <f>IFERROR(VLOOKUP(SAISIE!$P47,REF_MATERIALS!$A:$B,2,FALSE),"")</f>
        <v/>
      </c>
      <c r="Q47" s="5">
        <f>SAISIE!$Q47</f>
        <v>0</v>
      </c>
      <c r="R47" s="5" t="str">
        <f>IFERROR(VLOOKUP(SAISIE!$R47,REF_COUNTRIES!$A:$B,2,FALSE),"")</f>
        <v/>
      </c>
      <c r="S47" s="5" t="str">
        <f>IFERROR(VLOOKUP(SAISIE!$S47,REF_COUNTRIES!$A:$B,2,FALSE),"")</f>
        <v>MA</v>
      </c>
      <c r="T47" s="5" t="str">
        <f>IFERROR(VLOOKUP(SAISIE!$T47,REF_COUNTRIES!$A:$B,2,FALSE),"")</f>
        <v>REE</v>
      </c>
      <c r="U47" s="5" t="str">
        <f>IFERROR(VLOOKUP(SAISIE!$U47,REF_COUNTRIES!$A:$B,2,FALSE),"")</f>
        <v>RAS</v>
      </c>
      <c r="V47" s="5" t="str">
        <f>IFERROR(VLOOKUP(SAISIE!$V47,REF_COUNTRIES!$A:$B,2,FALSE),"")</f>
        <v>RAF</v>
      </c>
    </row>
    <row r="48" spans="1:22" x14ac:dyDescent="0.25">
      <c r="A48" s="5" t="str">
        <f>SAISIE!$A48</f>
        <v>Produit Test 047 - T-shirt / Polo</v>
      </c>
      <c r="B48" s="5" t="str">
        <f>IFERROR(VLOOKUP(SAISIE!$B48,REF_PRODUCTS!$A:$B,2,FALSE),"")</f>
        <v>tshirt</v>
      </c>
      <c r="C48" s="5">
        <f>SAISIE!$C48</f>
        <v>0.23</v>
      </c>
      <c r="D48" s="5" t="str">
        <f>IFERROR(VLOOKUP(SAISIE!$D48,REF_MATERIALS!$A:$B,2,FALSE),"")</f>
        <v>a1c1c2ec-33b1-49d6-bf8e-139e2eb7f097</v>
      </c>
      <c r="E48" s="5">
        <f>SAISIE!$E48</f>
        <v>0.81</v>
      </c>
      <c r="F48" s="5" t="str">
        <f>IFERROR(VLOOKUP(SAISIE!$F48,REF_COUNTRIES!$A:$B,2,FALSE),"")</f>
        <v>---</v>
      </c>
      <c r="G48" s="5" t="str">
        <f>IFERROR(VLOOKUP(SAISIE!$G48,REF_MATERIALS!$A:$B,2,FALSE),"")</f>
        <v>c84280ff-e921-4d5c-92d6-51030bf4f74e</v>
      </c>
      <c r="H48" s="5">
        <f>SAISIE!$H48</f>
        <v>0.19</v>
      </c>
      <c r="I48" s="5" t="str">
        <f>IFERROR(VLOOKUP(SAISIE!$I48,REF_COUNTRIES!$A:$B,2,FALSE),"")</f>
        <v>---</v>
      </c>
      <c r="J48" s="5" t="str">
        <f>IFERROR(VLOOKUP(SAISIE!$J48,REF_MATERIALS!$A:$B,2,FALSE),"")</f>
        <v/>
      </c>
      <c r="K48" s="5">
        <f>SAISIE!$K48</f>
        <v>0</v>
      </c>
      <c r="L48" s="5" t="str">
        <f>IFERROR(VLOOKUP(SAISIE!$L48,REF_COUNTRIES!$A:$B,2,FALSE),"")</f>
        <v/>
      </c>
      <c r="M48" s="5" t="str">
        <f>IFERROR(VLOOKUP(SAISIE!$M48,REF_MATERIALS!$A:$B,2,FALSE),"")</f>
        <v/>
      </c>
      <c r="N48" s="5">
        <f>SAISIE!$N48</f>
        <v>0</v>
      </c>
      <c r="O48" s="5" t="str">
        <f>IFERROR(VLOOKUP(SAISIE!$O48,REF_COUNTRIES!$A:$B,2,FALSE),"")</f>
        <v/>
      </c>
      <c r="P48" s="5" t="str">
        <f>IFERROR(VLOOKUP(SAISIE!$P48,REF_MATERIALS!$A:$B,2,FALSE),"")</f>
        <v/>
      </c>
      <c r="Q48" s="5">
        <f>SAISIE!$Q48</f>
        <v>0</v>
      </c>
      <c r="R48" s="5" t="str">
        <f>IFERROR(VLOOKUP(SAISIE!$R48,REF_COUNTRIES!$A:$B,2,FALSE),"")</f>
        <v/>
      </c>
      <c r="S48" s="5" t="str">
        <f>IFERROR(VLOOKUP(SAISIE!$S48,REF_COUNTRIES!$A:$B,2,FALSE),"")</f>
        <v>IN</v>
      </c>
      <c r="T48" s="5" t="str">
        <f>IFERROR(VLOOKUP(SAISIE!$T48,REF_COUNTRIES!$A:$B,2,FALSE),"")</f>
        <v>RAF</v>
      </c>
      <c r="U48" s="5" t="str">
        <f>IFERROR(VLOOKUP(SAISIE!$U48,REF_COUNTRIES!$A:$B,2,FALSE),"")</f>
        <v>RME</v>
      </c>
      <c r="V48" s="5" t="str">
        <f>IFERROR(VLOOKUP(SAISIE!$V48,REF_COUNTRIES!$A:$B,2,FALSE),"")</f>
        <v>MM</v>
      </c>
    </row>
    <row r="49" spans="1:22" x14ac:dyDescent="0.25">
      <c r="A49" s="5" t="str">
        <f>SAISIE!$A49</f>
        <v>Produit Test 048 - Chemise</v>
      </c>
      <c r="B49" s="5" t="str">
        <f>IFERROR(VLOOKUP(SAISIE!$B49,REF_PRODUCTS!$A:$B,2,FALSE),"")</f>
        <v>chemise</v>
      </c>
      <c r="C49" s="5">
        <f>SAISIE!$C49</f>
        <v>0.2</v>
      </c>
      <c r="D49" s="5" t="str">
        <f>IFERROR(VLOOKUP(SAISIE!$D49,REF_MATERIALS!$A:$B,2,FALSE),"")</f>
        <v>c84280ff-e921-4d5c-92d6-51030bf4f74e</v>
      </c>
      <c r="E49" s="5">
        <f>SAISIE!$E49</f>
        <v>0.59</v>
      </c>
      <c r="F49" s="5" t="str">
        <f>IFERROR(VLOOKUP(SAISIE!$F49,REF_COUNTRIES!$A:$B,2,FALSE),"")</f>
        <v>RNA</v>
      </c>
      <c r="G49" s="5" t="str">
        <f>IFERROR(VLOOKUP(SAISIE!$G49,REF_MATERIALS!$A:$B,2,FALSE),"")</f>
        <v>9973088b-c929-4cc5-894a-1e4d28c161d4</v>
      </c>
      <c r="H49" s="5">
        <f>SAISIE!$H49</f>
        <v>0.41</v>
      </c>
      <c r="I49" s="5" t="str">
        <f>IFERROR(VLOOKUP(SAISIE!$I49,REF_COUNTRIES!$A:$B,2,FALSE),"")</f>
        <v>KH</v>
      </c>
      <c r="J49" s="5" t="str">
        <f>IFERROR(VLOOKUP(SAISIE!$J49,REF_MATERIALS!$A:$B,2,FALSE),"")</f>
        <v/>
      </c>
      <c r="K49" s="5">
        <f>SAISIE!$K49</f>
        <v>0</v>
      </c>
      <c r="L49" s="5" t="str">
        <f>IFERROR(VLOOKUP(SAISIE!$L49,REF_COUNTRIES!$A:$B,2,FALSE),"")</f>
        <v/>
      </c>
      <c r="M49" s="5" t="str">
        <f>IFERROR(VLOOKUP(SAISIE!$M49,REF_MATERIALS!$A:$B,2,FALSE),"")</f>
        <v/>
      </c>
      <c r="N49" s="5">
        <f>SAISIE!$N49</f>
        <v>0</v>
      </c>
      <c r="O49" s="5" t="str">
        <f>IFERROR(VLOOKUP(SAISIE!$O49,REF_COUNTRIES!$A:$B,2,FALSE),"")</f>
        <v/>
      </c>
      <c r="P49" s="5" t="str">
        <f>IFERROR(VLOOKUP(SAISIE!$P49,REF_MATERIALS!$A:$B,2,FALSE),"")</f>
        <v/>
      </c>
      <c r="Q49" s="5">
        <f>SAISIE!$Q49</f>
        <v>0</v>
      </c>
      <c r="R49" s="5" t="str">
        <f>IFERROR(VLOOKUP(SAISIE!$R49,REF_COUNTRIES!$A:$B,2,FALSE),"")</f>
        <v/>
      </c>
      <c r="S49" s="5" t="str">
        <f>IFERROR(VLOOKUP(SAISIE!$S49,REF_COUNTRIES!$A:$B,2,FALSE),"")</f>
        <v>BD</v>
      </c>
      <c r="T49" s="5" t="str">
        <f>IFERROR(VLOOKUP(SAISIE!$T49,REF_COUNTRIES!$A:$B,2,FALSE),"")</f>
        <v>RAS</v>
      </c>
      <c r="U49" s="5" t="str">
        <f>IFERROR(VLOOKUP(SAISIE!$U49,REF_COUNTRIES!$A:$B,2,FALSE),"")</f>
        <v>TN</v>
      </c>
      <c r="V49" s="5" t="str">
        <f>IFERROR(VLOOKUP(SAISIE!$V49,REF_COUNTRIES!$A:$B,2,FALSE),"")</f>
        <v>MA</v>
      </c>
    </row>
    <row r="50" spans="1:22" x14ac:dyDescent="0.25">
      <c r="A50" s="5" t="str">
        <f>SAISIE!$A50</f>
        <v>Produit Test 049 - Pantalon / Short</v>
      </c>
      <c r="B50" s="5" t="str">
        <f>IFERROR(VLOOKUP(SAISIE!$B50,REF_PRODUCTS!$A:$B,2,FALSE),"")</f>
        <v>pantalon</v>
      </c>
      <c r="C50" s="5">
        <f>SAISIE!$C50</f>
        <v>0.47</v>
      </c>
      <c r="D50" s="5" t="str">
        <f>IFERROR(VLOOKUP(SAISIE!$D50,REF_MATERIALS!$A:$B,2,FALSE),"")</f>
        <v>a1c1c2ec-33b1-49d6-bf8e-139e2eb7f097</v>
      </c>
      <c r="E50" s="5">
        <f>SAISIE!$E50</f>
        <v>0.73</v>
      </c>
      <c r="F50" s="5" t="str">
        <f>IFERROR(VLOOKUP(SAISIE!$F50,REF_COUNTRIES!$A:$B,2,FALSE),"")</f>
        <v>TN</v>
      </c>
      <c r="G50" s="5" t="str">
        <f>IFERROR(VLOOKUP(SAISIE!$G50,REF_MATERIALS!$A:$B,2,FALSE),"")</f>
        <v>8f44c680-1263-4588-b79b-a9e4dc3d8de4</v>
      </c>
      <c r="H50" s="5">
        <f>SAISIE!$H50</f>
        <v>0.27</v>
      </c>
      <c r="I50" s="5" t="str">
        <f>IFERROR(VLOOKUP(SAISIE!$I50,REF_COUNTRIES!$A:$B,2,FALSE),"")</f>
        <v>RLA</v>
      </c>
      <c r="J50" s="5" t="str">
        <f>IFERROR(VLOOKUP(SAISIE!$J50,REF_MATERIALS!$A:$B,2,FALSE),"")</f>
        <v/>
      </c>
      <c r="K50" s="5">
        <f>SAISIE!$K50</f>
        <v>0</v>
      </c>
      <c r="L50" s="5" t="str">
        <f>IFERROR(VLOOKUP(SAISIE!$L50,REF_COUNTRIES!$A:$B,2,FALSE),"")</f>
        <v/>
      </c>
      <c r="M50" s="5" t="str">
        <f>IFERROR(VLOOKUP(SAISIE!$M50,REF_MATERIALS!$A:$B,2,FALSE),"")</f>
        <v/>
      </c>
      <c r="N50" s="5">
        <f>SAISIE!$N50</f>
        <v>0</v>
      </c>
      <c r="O50" s="5" t="str">
        <f>IFERROR(VLOOKUP(SAISIE!$O50,REF_COUNTRIES!$A:$B,2,FALSE),"")</f>
        <v/>
      </c>
      <c r="P50" s="5" t="str">
        <f>IFERROR(VLOOKUP(SAISIE!$P50,REF_MATERIALS!$A:$B,2,FALSE),"")</f>
        <v/>
      </c>
      <c r="Q50" s="5">
        <f>SAISIE!$Q50</f>
        <v>0</v>
      </c>
      <c r="R50" s="5" t="str">
        <f>IFERROR(VLOOKUP(SAISIE!$R50,REF_COUNTRIES!$A:$B,2,FALSE),"")</f>
        <v/>
      </c>
      <c r="S50" s="5" t="str">
        <f>IFERROR(VLOOKUP(SAISIE!$S50,REF_COUNTRIES!$A:$B,2,FALSE),"")</f>
        <v>MA</v>
      </c>
      <c r="T50" s="5" t="str">
        <f>IFERROR(VLOOKUP(SAISIE!$T50,REF_COUNTRIES!$A:$B,2,FALSE),"")</f>
        <v>FR</v>
      </c>
      <c r="U50" s="5" t="str">
        <f>IFERROR(VLOOKUP(SAISIE!$U50,REF_COUNTRIES!$A:$B,2,FALSE),"")</f>
        <v>TR</v>
      </c>
      <c r="V50" s="5" t="str">
        <f>IFERROR(VLOOKUP(SAISIE!$V50,REF_COUNTRIES!$A:$B,2,FALSE),"")</f>
        <v>TN</v>
      </c>
    </row>
    <row r="51" spans="1:22" x14ac:dyDescent="0.25">
      <c r="A51" s="5" t="str">
        <f>SAISIE!$A51</f>
        <v>Produit Test 050 - Boxer / Slip (tricoté)</v>
      </c>
      <c r="B51" s="5" t="str">
        <f>IFERROR(VLOOKUP(SAISIE!$B51,REF_PRODUCTS!$A:$B,2,FALSE),"")</f>
        <v>slip</v>
      </c>
      <c r="C51" s="5">
        <f>SAISIE!$C51</f>
        <v>0.4</v>
      </c>
      <c r="D51" s="5" t="str">
        <f>IFERROR(VLOOKUP(SAISIE!$D51,REF_MATERIALS!$A:$B,2,FALSE),"")</f>
        <v>457e9b0d-9eda-4dca-b199-deeb0a154fa9</v>
      </c>
      <c r="E51" s="5">
        <f>SAISIE!$E51</f>
        <v>1</v>
      </c>
      <c r="F51" s="5" t="str">
        <f>IFERROR(VLOOKUP(SAISIE!$F51,REF_COUNTRIES!$A:$B,2,FALSE),"")</f>
        <v>RME</v>
      </c>
      <c r="G51" s="5" t="str">
        <f>IFERROR(VLOOKUP(SAISIE!$G51,REF_MATERIALS!$A:$B,2,FALSE),"")</f>
        <v/>
      </c>
      <c r="H51" s="5">
        <f>SAISIE!$H51</f>
        <v>0</v>
      </c>
      <c r="I51" s="5" t="str">
        <f>IFERROR(VLOOKUP(SAISIE!$I51,REF_COUNTRIES!$A:$B,2,FALSE),"")</f>
        <v/>
      </c>
      <c r="J51" s="5" t="str">
        <f>IFERROR(VLOOKUP(SAISIE!$J51,REF_MATERIALS!$A:$B,2,FALSE),"")</f>
        <v/>
      </c>
      <c r="K51" s="5">
        <f>SAISIE!$K51</f>
        <v>0</v>
      </c>
      <c r="L51" s="5" t="str">
        <f>IFERROR(VLOOKUP(SAISIE!$L51,REF_COUNTRIES!$A:$B,2,FALSE),"")</f>
        <v/>
      </c>
      <c r="M51" s="5" t="str">
        <f>IFERROR(VLOOKUP(SAISIE!$M51,REF_MATERIALS!$A:$B,2,FALSE),"")</f>
        <v/>
      </c>
      <c r="N51" s="5">
        <f>SAISIE!$N51</f>
        <v>0</v>
      </c>
      <c r="O51" s="5" t="str">
        <f>IFERROR(VLOOKUP(SAISIE!$O51,REF_COUNTRIES!$A:$B,2,FALSE),"")</f>
        <v/>
      </c>
      <c r="P51" s="5" t="str">
        <f>IFERROR(VLOOKUP(SAISIE!$P51,REF_MATERIALS!$A:$B,2,FALSE),"")</f>
        <v/>
      </c>
      <c r="Q51" s="5">
        <f>SAISIE!$Q51</f>
        <v>0</v>
      </c>
      <c r="R51" s="5" t="str">
        <f>IFERROR(VLOOKUP(SAISIE!$R51,REF_COUNTRIES!$A:$B,2,FALSE),"")</f>
        <v/>
      </c>
      <c r="S51" s="5" t="str">
        <f>IFERROR(VLOOKUP(SAISIE!$S51,REF_COUNTRIES!$A:$B,2,FALSE),"")</f>
        <v>KH</v>
      </c>
      <c r="T51" s="5" t="str">
        <f>IFERROR(VLOOKUP(SAISIE!$T51,REF_COUNTRIES!$A:$B,2,FALSE),"")</f>
        <v>TR</v>
      </c>
      <c r="U51" s="5" t="str">
        <f>IFERROR(VLOOKUP(SAISIE!$U51,REF_COUNTRIES!$A:$B,2,FALSE),"")</f>
        <v>MA</v>
      </c>
      <c r="V51" s="5" t="str">
        <f>IFERROR(VLOOKUP(SAISIE!$V51,REF_COUNTRIES!$A:$B,2,FALSE),"")</f>
        <v>BD</v>
      </c>
    </row>
    <row r="52" spans="1:22" x14ac:dyDescent="0.25">
      <c r="A52" s="5" t="str">
        <f>SAISIE!$A52</f>
        <v>Produit Test 051 - T-shirt / Polo</v>
      </c>
      <c r="B52" s="5" t="str">
        <f>IFERROR(VLOOKUP(SAISIE!$B52,REF_PRODUCTS!$A:$B,2,FALSE),"")</f>
        <v>tshirt</v>
      </c>
      <c r="C52" s="5">
        <f>SAISIE!$C52</f>
        <v>0.15</v>
      </c>
      <c r="D52" s="5" t="str">
        <f>IFERROR(VLOOKUP(SAISIE!$D52,REF_MATERIALS!$A:$B,2,FALSE),"")</f>
        <v>62a4d6fb-3276-4ba5-93a3-889ecd3bff84</v>
      </c>
      <c r="E52" s="5">
        <f>SAISIE!$E52</f>
        <v>0.59</v>
      </c>
      <c r="F52" s="5" t="str">
        <f>IFERROR(VLOOKUP(SAISIE!$F52,REF_COUNTRIES!$A:$B,2,FALSE),"")</f>
        <v>MM</v>
      </c>
      <c r="G52" s="5" t="str">
        <f>IFERROR(VLOOKUP(SAISIE!$G52,REF_MATERIALS!$A:$B,2,FALSE),"")</f>
        <v>9973088b-c929-4cc5-894a-1e4d28c161d4</v>
      </c>
      <c r="H52" s="5">
        <f>SAISIE!$H52</f>
        <v>0.41</v>
      </c>
      <c r="I52" s="5" t="str">
        <f>IFERROR(VLOOKUP(SAISIE!$I52,REF_COUNTRIES!$A:$B,2,FALSE),"")</f>
        <v>TN</v>
      </c>
      <c r="J52" s="5" t="str">
        <f>IFERROR(VLOOKUP(SAISIE!$J52,REF_MATERIALS!$A:$B,2,FALSE),"")</f>
        <v/>
      </c>
      <c r="K52" s="5">
        <f>SAISIE!$K52</f>
        <v>0</v>
      </c>
      <c r="L52" s="5" t="str">
        <f>IFERROR(VLOOKUP(SAISIE!$L52,REF_COUNTRIES!$A:$B,2,FALSE),"")</f>
        <v/>
      </c>
      <c r="M52" s="5" t="str">
        <f>IFERROR(VLOOKUP(SAISIE!$M52,REF_MATERIALS!$A:$B,2,FALSE),"")</f>
        <v/>
      </c>
      <c r="N52" s="5">
        <f>SAISIE!$N52</f>
        <v>0</v>
      </c>
      <c r="O52" s="5" t="str">
        <f>IFERROR(VLOOKUP(SAISIE!$O52,REF_COUNTRIES!$A:$B,2,FALSE),"")</f>
        <v/>
      </c>
      <c r="P52" s="5" t="str">
        <f>IFERROR(VLOOKUP(SAISIE!$P52,REF_MATERIALS!$A:$B,2,FALSE),"")</f>
        <v/>
      </c>
      <c r="Q52" s="5">
        <f>SAISIE!$Q52</f>
        <v>0</v>
      </c>
      <c r="R52" s="5" t="str">
        <f>IFERROR(VLOOKUP(SAISIE!$R52,REF_COUNTRIES!$A:$B,2,FALSE),"")</f>
        <v/>
      </c>
      <c r="S52" s="5" t="str">
        <f>IFERROR(VLOOKUP(SAISIE!$S52,REF_COUNTRIES!$A:$B,2,FALSE),"")</f>
        <v>BD</v>
      </c>
      <c r="T52" s="5" t="str">
        <f>IFERROR(VLOOKUP(SAISIE!$T52,REF_COUNTRIES!$A:$B,2,FALSE),"")</f>
        <v>RNA</v>
      </c>
      <c r="U52" s="5" t="str">
        <f>IFERROR(VLOOKUP(SAISIE!$U52,REF_COUNTRIES!$A:$B,2,FALSE),"")</f>
        <v>RME</v>
      </c>
      <c r="V52" s="5" t="str">
        <f>IFERROR(VLOOKUP(SAISIE!$V52,REF_COUNTRIES!$A:$B,2,FALSE),"")</f>
        <v>PK</v>
      </c>
    </row>
    <row r="53" spans="1:22" x14ac:dyDescent="0.25">
      <c r="A53" s="5" t="str">
        <f>SAISIE!$A53</f>
        <v>Produit Test 052 - Maillot de bain</v>
      </c>
      <c r="B53" s="5" t="str">
        <f>IFERROR(VLOOKUP(SAISIE!$B53,REF_PRODUCTS!$A:$B,2,FALSE),"")</f>
        <v>maillot-de-bain</v>
      </c>
      <c r="C53" s="5">
        <f>SAISIE!$C53</f>
        <v>0.33</v>
      </c>
      <c r="D53" s="5" t="str">
        <f>IFERROR(VLOOKUP(SAISIE!$D53,REF_MATERIALS!$A:$B,2,FALSE),"")</f>
        <v>73ef624d-250e-4a9a-af5d-43505b21b527</v>
      </c>
      <c r="E53" s="5">
        <f>SAISIE!$E53</f>
        <v>1</v>
      </c>
      <c r="F53" s="5" t="str">
        <f>IFERROR(VLOOKUP(SAISIE!$F53,REF_COUNTRIES!$A:$B,2,FALSE),"")</f>
        <v>CN</v>
      </c>
      <c r="G53" s="5" t="str">
        <f>IFERROR(VLOOKUP(SAISIE!$G53,REF_MATERIALS!$A:$B,2,FALSE),"")</f>
        <v/>
      </c>
      <c r="H53" s="5">
        <f>SAISIE!$H53</f>
        <v>0</v>
      </c>
      <c r="I53" s="5" t="str">
        <f>IFERROR(VLOOKUP(SAISIE!$I53,REF_COUNTRIES!$A:$B,2,FALSE),"")</f>
        <v/>
      </c>
      <c r="J53" s="5" t="str">
        <f>IFERROR(VLOOKUP(SAISIE!$J53,REF_MATERIALS!$A:$B,2,FALSE),"")</f>
        <v/>
      </c>
      <c r="K53" s="5">
        <f>SAISIE!$K53</f>
        <v>0</v>
      </c>
      <c r="L53" s="5" t="str">
        <f>IFERROR(VLOOKUP(SAISIE!$L53,REF_COUNTRIES!$A:$B,2,FALSE),"")</f>
        <v/>
      </c>
      <c r="M53" s="5" t="str">
        <f>IFERROR(VLOOKUP(SAISIE!$M53,REF_MATERIALS!$A:$B,2,FALSE),"")</f>
        <v/>
      </c>
      <c r="N53" s="5">
        <f>SAISIE!$N53</f>
        <v>0</v>
      </c>
      <c r="O53" s="5" t="str">
        <f>IFERROR(VLOOKUP(SAISIE!$O53,REF_COUNTRIES!$A:$B,2,FALSE),"")</f>
        <v/>
      </c>
      <c r="P53" s="5" t="str">
        <f>IFERROR(VLOOKUP(SAISIE!$P53,REF_MATERIALS!$A:$B,2,FALSE),"")</f>
        <v/>
      </c>
      <c r="Q53" s="5">
        <f>SAISIE!$Q53</f>
        <v>0</v>
      </c>
      <c r="R53" s="5" t="str">
        <f>IFERROR(VLOOKUP(SAISIE!$R53,REF_COUNTRIES!$A:$B,2,FALSE),"")</f>
        <v/>
      </c>
      <c r="S53" s="5" t="str">
        <f>IFERROR(VLOOKUP(SAISIE!$S53,REF_COUNTRIES!$A:$B,2,FALSE),"")</f>
        <v>RAS</v>
      </c>
      <c r="T53" s="5" t="str">
        <f>IFERROR(VLOOKUP(SAISIE!$T53,REF_COUNTRIES!$A:$B,2,FALSE),"")</f>
        <v>PK</v>
      </c>
      <c r="U53" s="5" t="str">
        <f>IFERROR(VLOOKUP(SAISIE!$U53,REF_COUNTRIES!$A:$B,2,FALSE),"")</f>
        <v>REO</v>
      </c>
      <c r="V53" s="5" t="str">
        <f>IFERROR(VLOOKUP(SAISIE!$V53,REF_COUNTRIES!$A:$B,2,FALSE),"")</f>
        <v>FR</v>
      </c>
    </row>
    <row r="54" spans="1:22" x14ac:dyDescent="0.25">
      <c r="A54" s="5" t="str">
        <f>SAISIE!$A54</f>
        <v>Produit Test 053 - Manteau / Veste</v>
      </c>
      <c r="B54" s="5" t="str">
        <f>IFERROR(VLOOKUP(SAISIE!$B54,REF_PRODUCTS!$A:$B,2,FALSE),"")</f>
        <v>manteau</v>
      </c>
      <c r="C54" s="5">
        <f>SAISIE!$C54</f>
        <v>0.26</v>
      </c>
      <c r="D54" s="5" t="str">
        <f>IFERROR(VLOOKUP(SAISIE!$D54,REF_MATERIALS!$A:$B,2,FALSE),"")</f>
        <v>73ef624d-250e-4a9a-af5d-43505b21b527</v>
      </c>
      <c r="E54" s="5">
        <f>SAISIE!$E54</f>
        <v>1</v>
      </c>
      <c r="F54" s="5" t="str">
        <f>IFERROR(VLOOKUP(SAISIE!$F54,REF_COUNTRIES!$A:$B,2,FALSE),"")</f>
        <v>RAS</v>
      </c>
      <c r="G54" s="5" t="str">
        <f>IFERROR(VLOOKUP(SAISIE!$G54,REF_MATERIALS!$A:$B,2,FALSE),"")</f>
        <v/>
      </c>
      <c r="H54" s="5">
        <f>SAISIE!$H54</f>
        <v>0</v>
      </c>
      <c r="I54" s="5" t="str">
        <f>IFERROR(VLOOKUP(SAISIE!$I54,REF_COUNTRIES!$A:$B,2,FALSE),"")</f>
        <v/>
      </c>
      <c r="J54" s="5" t="str">
        <f>IFERROR(VLOOKUP(SAISIE!$J54,REF_MATERIALS!$A:$B,2,FALSE),"")</f>
        <v/>
      </c>
      <c r="K54" s="5">
        <f>SAISIE!$K54</f>
        <v>0</v>
      </c>
      <c r="L54" s="5" t="str">
        <f>IFERROR(VLOOKUP(SAISIE!$L54,REF_COUNTRIES!$A:$B,2,FALSE),"")</f>
        <v/>
      </c>
      <c r="M54" s="5" t="str">
        <f>IFERROR(VLOOKUP(SAISIE!$M54,REF_MATERIALS!$A:$B,2,FALSE),"")</f>
        <v/>
      </c>
      <c r="N54" s="5">
        <f>SAISIE!$N54</f>
        <v>0</v>
      </c>
      <c r="O54" s="5" t="str">
        <f>IFERROR(VLOOKUP(SAISIE!$O54,REF_COUNTRIES!$A:$B,2,FALSE),"")</f>
        <v/>
      </c>
      <c r="P54" s="5" t="str">
        <f>IFERROR(VLOOKUP(SAISIE!$P54,REF_MATERIALS!$A:$B,2,FALSE),"")</f>
        <v/>
      </c>
      <c r="Q54" s="5">
        <f>SAISIE!$Q54</f>
        <v>0</v>
      </c>
      <c r="R54" s="5" t="str">
        <f>IFERROR(VLOOKUP(SAISIE!$R54,REF_COUNTRIES!$A:$B,2,FALSE),"")</f>
        <v/>
      </c>
      <c r="S54" s="5" t="str">
        <f>IFERROR(VLOOKUP(SAISIE!$S54,REF_COUNTRIES!$A:$B,2,FALSE),"")</f>
        <v>VN</v>
      </c>
      <c r="T54" s="5" t="str">
        <f>IFERROR(VLOOKUP(SAISIE!$T54,REF_COUNTRIES!$A:$B,2,FALSE),"")</f>
        <v>RAF</v>
      </c>
      <c r="U54" s="5" t="str">
        <f>IFERROR(VLOOKUP(SAISIE!$U54,REF_COUNTRIES!$A:$B,2,FALSE),"")</f>
        <v>---</v>
      </c>
      <c r="V54" s="5" t="str">
        <f>IFERROR(VLOOKUP(SAISIE!$V54,REF_COUNTRIES!$A:$B,2,FALSE),"")</f>
        <v>BD</v>
      </c>
    </row>
    <row r="55" spans="1:22" x14ac:dyDescent="0.25">
      <c r="A55" s="5" t="str">
        <f>SAISIE!$A55</f>
        <v>Produit Test 054 - Pull</v>
      </c>
      <c r="B55" s="5" t="str">
        <f>IFERROR(VLOOKUP(SAISIE!$B55,REF_PRODUCTS!$A:$B,2,FALSE),"")</f>
        <v>pull</v>
      </c>
      <c r="C55" s="5">
        <f>SAISIE!$C55</f>
        <v>0.53</v>
      </c>
      <c r="D55" s="5" t="str">
        <f>IFERROR(VLOOKUP(SAISIE!$D55,REF_MATERIALS!$A:$B,2,FALSE),"")</f>
        <v>a1c1c2ec-33b1-49d6-bf8e-139e2eb7f097</v>
      </c>
      <c r="E55" s="5">
        <f>SAISIE!$E55</f>
        <v>1</v>
      </c>
      <c r="F55" s="5" t="str">
        <f>IFERROR(VLOOKUP(SAISIE!$F55,REF_COUNTRIES!$A:$B,2,FALSE),"")</f>
        <v>TN</v>
      </c>
      <c r="G55" s="5" t="str">
        <f>IFERROR(VLOOKUP(SAISIE!$G55,REF_MATERIALS!$A:$B,2,FALSE),"")</f>
        <v/>
      </c>
      <c r="H55" s="5">
        <f>SAISIE!$H55</f>
        <v>0</v>
      </c>
      <c r="I55" s="5" t="str">
        <f>IFERROR(VLOOKUP(SAISIE!$I55,REF_COUNTRIES!$A:$B,2,FALSE),"")</f>
        <v/>
      </c>
      <c r="J55" s="5" t="str">
        <f>IFERROR(VLOOKUP(SAISIE!$J55,REF_MATERIALS!$A:$B,2,FALSE),"")</f>
        <v/>
      </c>
      <c r="K55" s="5">
        <f>SAISIE!$K55</f>
        <v>0</v>
      </c>
      <c r="L55" s="5" t="str">
        <f>IFERROR(VLOOKUP(SAISIE!$L55,REF_COUNTRIES!$A:$B,2,FALSE),"")</f>
        <v/>
      </c>
      <c r="M55" s="5" t="str">
        <f>IFERROR(VLOOKUP(SAISIE!$M55,REF_MATERIALS!$A:$B,2,FALSE),"")</f>
        <v/>
      </c>
      <c r="N55" s="5">
        <f>SAISIE!$N55</f>
        <v>0</v>
      </c>
      <c r="O55" s="5" t="str">
        <f>IFERROR(VLOOKUP(SAISIE!$O55,REF_COUNTRIES!$A:$B,2,FALSE),"")</f>
        <v/>
      </c>
      <c r="P55" s="5" t="str">
        <f>IFERROR(VLOOKUP(SAISIE!$P55,REF_MATERIALS!$A:$B,2,FALSE),"")</f>
        <v/>
      </c>
      <c r="Q55" s="5">
        <f>SAISIE!$Q55</f>
        <v>0</v>
      </c>
      <c r="R55" s="5" t="str">
        <f>IFERROR(VLOOKUP(SAISIE!$R55,REF_COUNTRIES!$A:$B,2,FALSE),"")</f>
        <v/>
      </c>
      <c r="S55" s="5" t="str">
        <f>IFERROR(VLOOKUP(SAISIE!$S55,REF_COUNTRIES!$A:$B,2,FALSE),"")</f>
        <v>RLA</v>
      </c>
      <c r="T55" s="5" t="str">
        <f>IFERROR(VLOOKUP(SAISIE!$T55,REF_COUNTRIES!$A:$B,2,FALSE),"")</f>
        <v>REE</v>
      </c>
      <c r="U55" s="5" t="str">
        <f>IFERROR(VLOOKUP(SAISIE!$U55,REF_COUNTRIES!$A:$B,2,FALSE),"")</f>
        <v>VN</v>
      </c>
      <c r="V55" s="5" t="str">
        <f>IFERROR(VLOOKUP(SAISIE!$V55,REF_COUNTRIES!$A:$B,2,FALSE),"")</f>
        <v>REE</v>
      </c>
    </row>
    <row r="56" spans="1:22" x14ac:dyDescent="0.25">
      <c r="A56" s="5" t="str">
        <f>SAISIE!$A56</f>
        <v>Produit Test 055 - Boxer / Slip (tricoté)</v>
      </c>
      <c r="B56" s="5" t="str">
        <f>IFERROR(VLOOKUP(SAISIE!$B56,REF_PRODUCTS!$A:$B,2,FALSE),"")</f>
        <v>slip</v>
      </c>
      <c r="C56" s="5">
        <f>SAISIE!$C56</f>
        <v>0.41</v>
      </c>
      <c r="D56" s="5" t="str">
        <f>IFERROR(VLOOKUP(SAISIE!$D56,REF_MATERIALS!$A:$B,2,FALSE),"")</f>
        <v>d3d20384-88fb-4c75-ac12-c647365ac6c5</v>
      </c>
      <c r="E56" s="5">
        <f>SAISIE!$E56</f>
        <v>1</v>
      </c>
      <c r="F56" s="5" t="str">
        <f>IFERROR(VLOOKUP(SAISIE!$F56,REF_COUNTRIES!$A:$B,2,FALSE),"")</f>
        <v>RNA</v>
      </c>
      <c r="G56" s="5" t="str">
        <f>IFERROR(VLOOKUP(SAISIE!$G56,REF_MATERIALS!$A:$B,2,FALSE),"")</f>
        <v/>
      </c>
      <c r="H56" s="5">
        <f>SAISIE!$H56</f>
        <v>0</v>
      </c>
      <c r="I56" s="5" t="str">
        <f>IFERROR(VLOOKUP(SAISIE!$I56,REF_COUNTRIES!$A:$B,2,FALSE),"")</f>
        <v/>
      </c>
      <c r="J56" s="5" t="str">
        <f>IFERROR(VLOOKUP(SAISIE!$J56,REF_MATERIALS!$A:$B,2,FALSE),"")</f>
        <v/>
      </c>
      <c r="K56" s="5">
        <f>SAISIE!$K56</f>
        <v>0</v>
      </c>
      <c r="L56" s="5" t="str">
        <f>IFERROR(VLOOKUP(SAISIE!$L56,REF_COUNTRIES!$A:$B,2,FALSE),"")</f>
        <v/>
      </c>
      <c r="M56" s="5" t="str">
        <f>IFERROR(VLOOKUP(SAISIE!$M56,REF_MATERIALS!$A:$B,2,FALSE),"")</f>
        <v/>
      </c>
      <c r="N56" s="5">
        <f>SAISIE!$N56</f>
        <v>0</v>
      </c>
      <c r="O56" s="5" t="str">
        <f>IFERROR(VLOOKUP(SAISIE!$O56,REF_COUNTRIES!$A:$B,2,FALSE),"")</f>
        <v/>
      </c>
      <c r="P56" s="5" t="str">
        <f>IFERROR(VLOOKUP(SAISIE!$P56,REF_MATERIALS!$A:$B,2,FALSE),"")</f>
        <v/>
      </c>
      <c r="Q56" s="5">
        <f>SAISIE!$Q56</f>
        <v>0</v>
      </c>
      <c r="R56" s="5" t="str">
        <f>IFERROR(VLOOKUP(SAISIE!$R56,REF_COUNTRIES!$A:$B,2,FALSE),"")</f>
        <v/>
      </c>
      <c r="S56" s="5" t="str">
        <f>IFERROR(VLOOKUP(SAISIE!$S56,REF_COUNTRIES!$A:$B,2,FALSE),"")</f>
        <v>TR</v>
      </c>
      <c r="T56" s="5" t="str">
        <f>IFERROR(VLOOKUP(SAISIE!$T56,REF_COUNTRIES!$A:$B,2,FALSE),"")</f>
        <v>TR</v>
      </c>
      <c r="U56" s="5" t="str">
        <f>IFERROR(VLOOKUP(SAISIE!$U56,REF_COUNTRIES!$A:$B,2,FALSE),"")</f>
        <v>REE</v>
      </c>
      <c r="V56" s="5" t="str">
        <f>IFERROR(VLOOKUP(SAISIE!$V56,REF_COUNTRIES!$A:$B,2,FALSE),"")</f>
        <v>RNA</v>
      </c>
    </row>
    <row r="57" spans="1:22" x14ac:dyDescent="0.25">
      <c r="A57" s="5" t="str">
        <f>SAISIE!$A57</f>
        <v>Produit Test 056 - Pantalon / Short</v>
      </c>
      <c r="B57" s="5" t="str">
        <f>IFERROR(VLOOKUP(SAISIE!$B57,REF_PRODUCTS!$A:$B,2,FALSE),"")</f>
        <v>pantalon</v>
      </c>
      <c r="C57" s="5">
        <f>SAISIE!$C57</f>
        <v>0.49</v>
      </c>
      <c r="D57" s="5" t="str">
        <f>IFERROR(VLOOKUP(SAISIE!$D57,REF_MATERIALS!$A:$B,2,FALSE),"")</f>
        <v>8f44c680-1263-4588-b79b-a9e4dc3d8de4</v>
      </c>
      <c r="E57" s="5">
        <f>SAISIE!$E57</f>
        <v>1</v>
      </c>
      <c r="F57" s="5" t="str">
        <f>IFERROR(VLOOKUP(SAISIE!$F57,REF_COUNTRIES!$A:$B,2,FALSE),"")</f>
        <v>MA</v>
      </c>
      <c r="G57" s="5" t="str">
        <f>IFERROR(VLOOKUP(SAISIE!$G57,REF_MATERIALS!$A:$B,2,FALSE),"")</f>
        <v/>
      </c>
      <c r="H57" s="5">
        <f>SAISIE!$H57</f>
        <v>0</v>
      </c>
      <c r="I57" s="5" t="str">
        <f>IFERROR(VLOOKUP(SAISIE!$I57,REF_COUNTRIES!$A:$B,2,FALSE),"")</f>
        <v/>
      </c>
      <c r="J57" s="5" t="str">
        <f>IFERROR(VLOOKUP(SAISIE!$J57,REF_MATERIALS!$A:$B,2,FALSE),"")</f>
        <v/>
      </c>
      <c r="K57" s="5">
        <f>SAISIE!$K57</f>
        <v>0</v>
      </c>
      <c r="L57" s="5" t="str">
        <f>IFERROR(VLOOKUP(SAISIE!$L57,REF_COUNTRIES!$A:$B,2,FALSE),"")</f>
        <v/>
      </c>
      <c r="M57" s="5" t="str">
        <f>IFERROR(VLOOKUP(SAISIE!$M57,REF_MATERIALS!$A:$B,2,FALSE),"")</f>
        <v/>
      </c>
      <c r="N57" s="5">
        <f>SAISIE!$N57</f>
        <v>0</v>
      </c>
      <c r="O57" s="5" t="str">
        <f>IFERROR(VLOOKUP(SAISIE!$O57,REF_COUNTRIES!$A:$B,2,FALSE),"")</f>
        <v/>
      </c>
      <c r="P57" s="5" t="str">
        <f>IFERROR(VLOOKUP(SAISIE!$P57,REF_MATERIALS!$A:$B,2,FALSE),"")</f>
        <v/>
      </c>
      <c r="Q57" s="5">
        <f>SAISIE!$Q57</f>
        <v>0</v>
      </c>
      <c r="R57" s="5" t="str">
        <f>IFERROR(VLOOKUP(SAISIE!$R57,REF_COUNTRIES!$A:$B,2,FALSE),"")</f>
        <v/>
      </c>
      <c r="S57" s="5" t="str">
        <f>IFERROR(VLOOKUP(SAISIE!$S57,REF_COUNTRIES!$A:$B,2,FALSE),"")</f>
        <v>FR</v>
      </c>
      <c r="T57" s="5" t="str">
        <f>IFERROR(VLOOKUP(SAISIE!$T57,REF_COUNTRIES!$A:$B,2,FALSE),"")</f>
        <v>IN</v>
      </c>
      <c r="U57" s="5" t="str">
        <f>IFERROR(VLOOKUP(SAISIE!$U57,REF_COUNTRIES!$A:$B,2,FALSE),"")</f>
        <v>IN</v>
      </c>
      <c r="V57" s="5" t="str">
        <f>IFERROR(VLOOKUP(SAISIE!$V57,REF_COUNTRIES!$A:$B,2,FALSE),"")</f>
        <v>VN</v>
      </c>
    </row>
    <row r="58" spans="1:22" x14ac:dyDescent="0.25">
      <c r="A58" s="5" t="str">
        <f>SAISIE!$A58</f>
        <v>Produit Test 057 - Boxer / Slip (tricoté)</v>
      </c>
      <c r="B58" s="5" t="str">
        <f>IFERROR(VLOOKUP(SAISIE!$B58,REF_PRODUCTS!$A:$B,2,FALSE),"")</f>
        <v>slip</v>
      </c>
      <c r="C58" s="5">
        <f>SAISIE!$C58</f>
        <v>0.45</v>
      </c>
      <c r="D58" s="5" t="str">
        <f>IFERROR(VLOOKUP(SAISIE!$D58,REF_MATERIALS!$A:$B,2,FALSE),"")</f>
        <v>1fc3e17d-5661-429d-a150-7986eae16d9d</v>
      </c>
      <c r="E58" s="5">
        <f>SAISIE!$E58</f>
        <v>0.71</v>
      </c>
      <c r="F58" s="5" t="str">
        <f>IFERROR(VLOOKUP(SAISIE!$F58,REF_COUNTRIES!$A:$B,2,FALSE),"")</f>
        <v>RAF</v>
      </c>
      <c r="G58" s="5" t="str">
        <f>IFERROR(VLOOKUP(SAISIE!$G58,REF_MATERIALS!$A:$B,2,FALSE),"")</f>
        <v>457e9b0d-9eda-4dca-b199-deeb0a154fa9</v>
      </c>
      <c r="H58" s="5">
        <f>SAISIE!$H58</f>
        <v>0.28999999999999998</v>
      </c>
      <c r="I58" s="5" t="str">
        <f>IFERROR(VLOOKUP(SAISIE!$I58,REF_COUNTRIES!$A:$B,2,FALSE),"")</f>
        <v>ROC</v>
      </c>
      <c r="J58" s="5" t="str">
        <f>IFERROR(VLOOKUP(SAISIE!$J58,REF_MATERIALS!$A:$B,2,FALSE),"")</f>
        <v/>
      </c>
      <c r="K58" s="5">
        <f>SAISIE!$K58</f>
        <v>0</v>
      </c>
      <c r="L58" s="5" t="str">
        <f>IFERROR(VLOOKUP(SAISIE!$L58,REF_COUNTRIES!$A:$B,2,FALSE),"")</f>
        <v/>
      </c>
      <c r="M58" s="5" t="str">
        <f>IFERROR(VLOOKUP(SAISIE!$M58,REF_MATERIALS!$A:$B,2,FALSE),"")</f>
        <v/>
      </c>
      <c r="N58" s="5">
        <f>SAISIE!$N58</f>
        <v>0</v>
      </c>
      <c r="O58" s="5" t="str">
        <f>IFERROR(VLOOKUP(SAISIE!$O58,REF_COUNTRIES!$A:$B,2,FALSE),"")</f>
        <v/>
      </c>
      <c r="P58" s="5" t="str">
        <f>IFERROR(VLOOKUP(SAISIE!$P58,REF_MATERIALS!$A:$B,2,FALSE),"")</f>
        <v/>
      </c>
      <c r="Q58" s="5">
        <f>SAISIE!$Q58</f>
        <v>0</v>
      </c>
      <c r="R58" s="5" t="str">
        <f>IFERROR(VLOOKUP(SAISIE!$R58,REF_COUNTRIES!$A:$B,2,FALSE),"")</f>
        <v/>
      </c>
      <c r="S58" s="5" t="str">
        <f>IFERROR(VLOOKUP(SAISIE!$S58,REF_COUNTRIES!$A:$B,2,FALSE),"")</f>
        <v>TN</v>
      </c>
      <c r="T58" s="5" t="str">
        <f>IFERROR(VLOOKUP(SAISIE!$T58,REF_COUNTRIES!$A:$B,2,FALSE),"")</f>
        <v>IN</v>
      </c>
      <c r="U58" s="5" t="str">
        <f>IFERROR(VLOOKUP(SAISIE!$U58,REF_COUNTRIES!$A:$B,2,FALSE),"")</f>
        <v>IN</v>
      </c>
      <c r="V58" s="5" t="str">
        <f>IFERROR(VLOOKUP(SAISIE!$V58,REF_COUNTRIES!$A:$B,2,FALSE),"")</f>
        <v>RME</v>
      </c>
    </row>
    <row r="59" spans="1:22" x14ac:dyDescent="0.25">
      <c r="A59" s="5" t="str">
        <f>SAISIE!$A59</f>
        <v>Produit Test 058 - Pantalon / Short</v>
      </c>
      <c r="B59" s="5" t="str">
        <f>IFERROR(VLOOKUP(SAISIE!$B59,REF_PRODUCTS!$A:$B,2,FALSE),"")</f>
        <v>pantalon</v>
      </c>
      <c r="C59" s="5">
        <f>SAISIE!$C59</f>
        <v>0.15</v>
      </c>
      <c r="D59" s="5" t="str">
        <f>IFERROR(VLOOKUP(SAISIE!$D59,REF_MATERIALS!$A:$B,2,FALSE),"")</f>
        <v>a52e486c-b67e-40af-8337-e8143cbf9076</v>
      </c>
      <c r="E59" s="5">
        <f>SAISIE!$E59</f>
        <v>1</v>
      </c>
      <c r="F59" s="5" t="str">
        <f>IFERROR(VLOOKUP(SAISIE!$F59,REF_COUNTRIES!$A:$B,2,FALSE),"")</f>
        <v>RNA</v>
      </c>
      <c r="G59" s="5" t="str">
        <f>IFERROR(VLOOKUP(SAISIE!$G59,REF_MATERIALS!$A:$B,2,FALSE),"")</f>
        <v/>
      </c>
      <c r="H59" s="5">
        <f>SAISIE!$H59</f>
        <v>0</v>
      </c>
      <c r="I59" s="5" t="str">
        <f>IFERROR(VLOOKUP(SAISIE!$I59,REF_COUNTRIES!$A:$B,2,FALSE),"")</f>
        <v/>
      </c>
      <c r="J59" s="5" t="str">
        <f>IFERROR(VLOOKUP(SAISIE!$J59,REF_MATERIALS!$A:$B,2,FALSE),"")</f>
        <v/>
      </c>
      <c r="K59" s="5">
        <f>SAISIE!$K59</f>
        <v>0</v>
      </c>
      <c r="L59" s="5" t="str">
        <f>IFERROR(VLOOKUP(SAISIE!$L59,REF_COUNTRIES!$A:$B,2,FALSE),"")</f>
        <v/>
      </c>
      <c r="M59" s="5" t="str">
        <f>IFERROR(VLOOKUP(SAISIE!$M59,REF_MATERIALS!$A:$B,2,FALSE),"")</f>
        <v/>
      </c>
      <c r="N59" s="5">
        <f>SAISIE!$N59</f>
        <v>0</v>
      </c>
      <c r="O59" s="5" t="str">
        <f>IFERROR(VLOOKUP(SAISIE!$O59,REF_COUNTRIES!$A:$B,2,FALSE),"")</f>
        <v/>
      </c>
      <c r="P59" s="5" t="str">
        <f>IFERROR(VLOOKUP(SAISIE!$P59,REF_MATERIALS!$A:$B,2,FALSE),"")</f>
        <v/>
      </c>
      <c r="Q59" s="5">
        <f>SAISIE!$Q59</f>
        <v>0</v>
      </c>
      <c r="R59" s="5" t="str">
        <f>IFERROR(VLOOKUP(SAISIE!$R59,REF_COUNTRIES!$A:$B,2,FALSE),"")</f>
        <v/>
      </c>
      <c r="S59" s="5" t="str">
        <f>IFERROR(VLOOKUP(SAISIE!$S59,REF_COUNTRIES!$A:$B,2,FALSE),"")</f>
        <v>CN</v>
      </c>
      <c r="T59" s="5" t="str">
        <f>IFERROR(VLOOKUP(SAISIE!$T59,REF_COUNTRIES!$A:$B,2,FALSE),"")</f>
        <v>RNA</v>
      </c>
      <c r="U59" s="5" t="str">
        <f>IFERROR(VLOOKUP(SAISIE!$U59,REF_COUNTRIES!$A:$B,2,FALSE),"")</f>
        <v>REO</v>
      </c>
      <c r="V59" s="5" t="str">
        <f>IFERROR(VLOOKUP(SAISIE!$V59,REF_COUNTRIES!$A:$B,2,FALSE),"")</f>
        <v>MM</v>
      </c>
    </row>
    <row r="60" spans="1:22" x14ac:dyDescent="0.25">
      <c r="A60" s="5" t="str">
        <f>SAISIE!$A60</f>
        <v>Produit Test 059 - T-shirt / Polo</v>
      </c>
      <c r="B60" s="5" t="str">
        <f>IFERROR(VLOOKUP(SAISIE!$B60,REF_PRODUCTS!$A:$B,2,FALSE),"")</f>
        <v>tshirt</v>
      </c>
      <c r="C60" s="5">
        <f>SAISIE!$C60</f>
        <v>0.13</v>
      </c>
      <c r="D60" s="5" t="str">
        <f>IFERROR(VLOOKUP(SAISIE!$D60,REF_MATERIALS!$A:$B,2,FALSE),"")</f>
        <v>c087d394-5901-4b03-ba7a-7d4b0db0490c</v>
      </c>
      <c r="E60" s="5">
        <f>SAISIE!$E60</f>
        <v>1</v>
      </c>
      <c r="F60" s="5" t="str">
        <f>IFERROR(VLOOKUP(SAISIE!$F60,REF_COUNTRIES!$A:$B,2,FALSE),"")</f>
        <v>TR</v>
      </c>
      <c r="G60" s="5" t="str">
        <f>IFERROR(VLOOKUP(SAISIE!$G60,REF_MATERIALS!$A:$B,2,FALSE),"")</f>
        <v/>
      </c>
      <c r="H60" s="5">
        <f>SAISIE!$H60</f>
        <v>0</v>
      </c>
      <c r="I60" s="5" t="str">
        <f>IFERROR(VLOOKUP(SAISIE!$I60,REF_COUNTRIES!$A:$B,2,FALSE),"")</f>
        <v/>
      </c>
      <c r="J60" s="5" t="str">
        <f>IFERROR(VLOOKUP(SAISIE!$J60,REF_MATERIALS!$A:$B,2,FALSE),"")</f>
        <v/>
      </c>
      <c r="K60" s="5">
        <f>SAISIE!$K60</f>
        <v>0</v>
      </c>
      <c r="L60" s="5" t="str">
        <f>IFERROR(VLOOKUP(SAISIE!$L60,REF_COUNTRIES!$A:$B,2,FALSE),"")</f>
        <v/>
      </c>
      <c r="M60" s="5" t="str">
        <f>IFERROR(VLOOKUP(SAISIE!$M60,REF_MATERIALS!$A:$B,2,FALSE),"")</f>
        <v/>
      </c>
      <c r="N60" s="5">
        <f>SAISIE!$N60</f>
        <v>0</v>
      </c>
      <c r="O60" s="5" t="str">
        <f>IFERROR(VLOOKUP(SAISIE!$O60,REF_COUNTRIES!$A:$B,2,FALSE),"")</f>
        <v/>
      </c>
      <c r="P60" s="5" t="str">
        <f>IFERROR(VLOOKUP(SAISIE!$P60,REF_MATERIALS!$A:$B,2,FALSE),"")</f>
        <v/>
      </c>
      <c r="Q60" s="5">
        <f>SAISIE!$Q60</f>
        <v>0</v>
      </c>
      <c r="R60" s="5" t="str">
        <f>IFERROR(VLOOKUP(SAISIE!$R60,REF_COUNTRIES!$A:$B,2,FALSE),"")</f>
        <v/>
      </c>
      <c r="S60" s="5" t="str">
        <f>IFERROR(VLOOKUP(SAISIE!$S60,REF_COUNTRIES!$A:$B,2,FALSE),"")</f>
        <v>RME</v>
      </c>
      <c r="T60" s="5" t="str">
        <f>IFERROR(VLOOKUP(SAISIE!$T60,REF_COUNTRIES!$A:$B,2,FALSE),"")</f>
        <v>MM</v>
      </c>
      <c r="U60" s="5" t="str">
        <f>IFERROR(VLOOKUP(SAISIE!$U60,REF_COUNTRIES!$A:$B,2,FALSE),"")</f>
        <v>IN</v>
      </c>
      <c r="V60" s="5" t="str">
        <f>IFERROR(VLOOKUP(SAISIE!$V60,REF_COUNTRIES!$A:$B,2,FALSE),"")</f>
        <v>KH</v>
      </c>
    </row>
    <row r="61" spans="1:22" x14ac:dyDescent="0.25">
      <c r="A61" s="5" t="str">
        <f>SAISIE!$A61</f>
        <v>Produit Test 060 - Jean</v>
      </c>
      <c r="B61" s="5" t="str">
        <f>IFERROR(VLOOKUP(SAISIE!$B61,REF_PRODUCTS!$A:$B,2,FALSE),"")</f>
        <v>jean</v>
      </c>
      <c r="C61" s="5">
        <f>SAISIE!$C61</f>
        <v>0.52</v>
      </c>
      <c r="D61" s="5" t="str">
        <f>IFERROR(VLOOKUP(SAISIE!$D61,REF_MATERIALS!$A:$B,2,FALSE),"")</f>
        <v>8f44c680-1263-4588-b79b-a9e4dc3d8de4</v>
      </c>
      <c r="E61" s="5">
        <f>SAISIE!$E61</f>
        <v>0.69</v>
      </c>
      <c r="F61" s="5" t="str">
        <f>IFERROR(VLOOKUP(SAISIE!$F61,REF_COUNTRIES!$A:$B,2,FALSE),"")</f>
        <v>BD</v>
      </c>
      <c r="G61" s="5" t="str">
        <f>IFERROR(VLOOKUP(SAISIE!$G61,REF_MATERIALS!$A:$B,2,FALSE),"")</f>
        <v>9973088b-c929-4cc5-894a-1e4d28c161d4</v>
      </c>
      <c r="H61" s="5">
        <f>SAISIE!$H61</f>
        <v>0.31</v>
      </c>
      <c r="I61" s="5" t="str">
        <f>IFERROR(VLOOKUP(SAISIE!$I61,REF_COUNTRIES!$A:$B,2,FALSE),"")</f>
        <v>TR</v>
      </c>
      <c r="J61" s="5" t="str">
        <f>IFERROR(VLOOKUP(SAISIE!$J61,REF_MATERIALS!$A:$B,2,FALSE),"")</f>
        <v/>
      </c>
      <c r="K61" s="5">
        <f>SAISIE!$K61</f>
        <v>0</v>
      </c>
      <c r="L61" s="5" t="str">
        <f>IFERROR(VLOOKUP(SAISIE!$L61,REF_COUNTRIES!$A:$B,2,FALSE),"")</f>
        <v/>
      </c>
      <c r="M61" s="5" t="str">
        <f>IFERROR(VLOOKUP(SAISIE!$M61,REF_MATERIALS!$A:$B,2,FALSE),"")</f>
        <v/>
      </c>
      <c r="N61" s="5">
        <f>SAISIE!$N61</f>
        <v>0</v>
      </c>
      <c r="O61" s="5" t="str">
        <f>IFERROR(VLOOKUP(SAISIE!$O61,REF_COUNTRIES!$A:$B,2,FALSE),"")</f>
        <v/>
      </c>
      <c r="P61" s="5" t="str">
        <f>IFERROR(VLOOKUP(SAISIE!$P61,REF_MATERIALS!$A:$B,2,FALSE),"")</f>
        <v/>
      </c>
      <c r="Q61" s="5">
        <f>SAISIE!$Q61</f>
        <v>0</v>
      </c>
      <c r="R61" s="5" t="str">
        <f>IFERROR(VLOOKUP(SAISIE!$R61,REF_COUNTRIES!$A:$B,2,FALSE),"")</f>
        <v/>
      </c>
      <c r="S61" s="5" t="str">
        <f>IFERROR(VLOOKUP(SAISIE!$S61,REF_COUNTRIES!$A:$B,2,FALSE),"")</f>
        <v>ROC</v>
      </c>
      <c r="T61" s="5" t="str">
        <f>IFERROR(VLOOKUP(SAISIE!$T61,REF_COUNTRIES!$A:$B,2,FALSE),"")</f>
        <v>RLA</v>
      </c>
      <c r="U61" s="5" t="str">
        <f>IFERROR(VLOOKUP(SAISIE!$U61,REF_COUNTRIES!$A:$B,2,FALSE),"")</f>
        <v>RLA</v>
      </c>
      <c r="V61" s="5" t="str">
        <f>IFERROR(VLOOKUP(SAISIE!$V61,REF_COUNTRIES!$A:$B,2,FALSE),"")</f>
        <v>TN</v>
      </c>
    </row>
    <row r="62" spans="1:22" x14ac:dyDescent="0.25">
      <c r="A62" s="5" t="str">
        <f>SAISIE!$A62</f>
        <v>Produit Test 061 - Maillot de bain</v>
      </c>
      <c r="B62" s="5" t="str">
        <f>IFERROR(VLOOKUP(SAISIE!$B62,REF_PRODUCTS!$A:$B,2,FALSE),"")</f>
        <v>maillot-de-bain</v>
      </c>
      <c r="C62" s="5">
        <f>SAISIE!$C62</f>
        <v>0.28000000000000003</v>
      </c>
      <c r="D62" s="5" t="str">
        <f>IFERROR(VLOOKUP(SAISIE!$D62,REF_MATERIALS!$A:$B,2,FALSE),"")</f>
        <v>c087d394-5901-4b03-ba7a-7d4b0db0490c</v>
      </c>
      <c r="E62" s="5">
        <f>SAISIE!$E62</f>
        <v>1</v>
      </c>
      <c r="F62" s="5" t="str">
        <f>IFERROR(VLOOKUP(SAISIE!$F62,REF_COUNTRIES!$A:$B,2,FALSE),"")</f>
        <v>REO</v>
      </c>
      <c r="G62" s="5" t="str">
        <f>IFERROR(VLOOKUP(SAISIE!$G62,REF_MATERIALS!$A:$B,2,FALSE),"")</f>
        <v/>
      </c>
      <c r="H62" s="5">
        <f>SAISIE!$H62</f>
        <v>0</v>
      </c>
      <c r="I62" s="5" t="str">
        <f>IFERROR(VLOOKUP(SAISIE!$I62,REF_COUNTRIES!$A:$B,2,FALSE),"")</f>
        <v/>
      </c>
      <c r="J62" s="5" t="str">
        <f>IFERROR(VLOOKUP(SAISIE!$J62,REF_MATERIALS!$A:$B,2,FALSE),"")</f>
        <v/>
      </c>
      <c r="K62" s="5">
        <f>SAISIE!$K62</f>
        <v>0</v>
      </c>
      <c r="L62" s="5" t="str">
        <f>IFERROR(VLOOKUP(SAISIE!$L62,REF_COUNTRIES!$A:$B,2,FALSE),"")</f>
        <v/>
      </c>
      <c r="M62" s="5" t="str">
        <f>IFERROR(VLOOKUP(SAISIE!$M62,REF_MATERIALS!$A:$B,2,FALSE),"")</f>
        <v/>
      </c>
      <c r="N62" s="5">
        <f>SAISIE!$N62</f>
        <v>0</v>
      </c>
      <c r="O62" s="5" t="str">
        <f>IFERROR(VLOOKUP(SAISIE!$O62,REF_COUNTRIES!$A:$B,2,FALSE),"")</f>
        <v/>
      </c>
      <c r="P62" s="5" t="str">
        <f>IFERROR(VLOOKUP(SAISIE!$P62,REF_MATERIALS!$A:$B,2,FALSE),"")</f>
        <v/>
      </c>
      <c r="Q62" s="5">
        <f>SAISIE!$Q62</f>
        <v>0</v>
      </c>
      <c r="R62" s="5" t="str">
        <f>IFERROR(VLOOKUP(SAISIE!$R62,REF_COUNTRIES!$A:$B,2,FALSE),"")</f>
        <v/>
      </c>
      <c r="S62" s="5" t="str">
        <f>IFERROR(VLOOKUP(SAISIE!$S62,REF_COUNTRIES!$A:$B,2,FALSE),"")</f>
        <v>MA</v>
      </c>
      <c r="T62" s="5" t="str">
        <f>IFERROR(VLOOKUP(SAISIE!$T62,REF_COUNTRIES!$A:$B,2,FALSE),"")</f>
        <v>IN</v>
      </c>
      <c r="U62" s="5" t="str">
        <f>IFERROR(VLOOKUP(SAISIE!$U62,REF_COUNTRIES!$A:$B,2,FALSE),"")</f>
        <v>---</v>
      </c>
      <c r="V62" s="5" t="str">
        <f>IFERROR(VLOOKUP(SAISIE!$V62,REF_COUNTRIES!$A:$B,2,FALSE),"")</f>
        <v>IN</v>
      </c>
    </row>
    <row r="63" spans="1:22" x14ac:dyDescent="0.25">
      <c r="A63" s="5" t="str">
        <f>SAISIE!$A63</f>
        <v>Produit Test 062 - Maillot de bain</v>
      </c>
      <c r="B63" s="5" t="str">
        <f>IFERROR(VLOOKUP(SAISIE!$B63,REF_PRODUCTS!$A:$B,2,FALSE),"")</f>
        <v>maillot-de-bain</v>
      </c>
      <c r="C63" s="5">
        <f>SAISIE!$C63</f>
        <v>0.31</v>
      </c>
      <c r="D63" s="5" t="str">
        <f>IFERROR(VLOOKUP(SAISIE!$D63,REF_MATERIALS!$A:$B,2,FALSE),"")</f>
        <v>a1c1c2ec-33b1-49d6-bf8e-139e2eb7f097</v>
      </c>
      <c r="E63" s="5">
        <f>SAISIE!$E63</f>
        <v>0.5</v>
      </c>
      <c r="F63" s="5" t="str">
        <f>IFERROR(VLOOKUP(SAISIE!$F63,REF_COUNTRIES!$A:$B,2,FALSE),"")</f>
        <v>TN</v>
      </c>
      <c r="G63" s="5" t="str">
        <f>IFERROR(VLOOKUP(SAISIE!$G63,REF_MATERIALS!$A:$B,2,FALSE),"")</f>
        <v>457e9b0d-9eda-4dca-b199-deeb0a154fa9</v>
      </c>
      <c r="H63" s="5">
        <f>SAISIE!$H63</f>
        <v>0.5</v>
      </c>
      <c r="I63" s="5" t="str">
        <f>IFERROR(VLOOKUP(SAISIE!$I63,REF_COUNTRIES!$A:$B,2,FALSE),"")</f>
        <v>RAF</v>
      </c>
      <c r="J63" s="5" t="str">
        <f>IFERROR(VLOOKUP(SAISIE!$J63,REF_MATERIALS!$A:$B,2,FALSE),"")</f>
        <v/>
      </c>
      <c r="K63" s="5">
        <f>SAISIE!$K63</f>
        <v>0</v>
      </c>
      <c r="L63" s="5" t="str">
        <f>IFERROR(VLOOKUP(SAISIE!$L63,REF_COUNTRIES!$A:$B,2,FALSE),"")</f>
        <v/>
      </c>
      <c r="M63" s="5" t="str">
        <f>IFERROR(VLOOKUP(SAISIE!$M63,REF_MATERIALS!$A:$B,2,FALSE),"")</f>
        <v/>
      </c>
      <c r="N63" s="5">
        <f>SAISIE!$N63</f>
        <v>0</v>
      </c>
      <c r="O63" s="5" t="str">
        <f>IFERROR(VLOOKUP(SAISIE!$O63,REF_COUNTRIES!$A:$B,2,FALSE),"")</f>
        <v/>
      </c>
      <c r="P63" s="5" t="str">
        <f>IFERROR(VLOOKUP(SAISIE!$P63,REF_MATERIALS!$A:$B,2,FALSE),"")</f>
        <v/>
      </c>
      <c r="Q63" s="5">
        <f>SAISIE!$Q63</f>
        <v>0</v>
      </c>
      <c r="R63" s="5" t="str">
        <f>IFERROR(VLOOKUP(SAISIE!$R63,REF_COUNTRIES!$A:$B,2,FALSE),"")</f>
        <v/>
      </c>
      <c r="S63" s="5" t="str">
        <f>IFERROR(VLOOKUP(SAISIE!$S63,REF_COUNTRIES!$A:$B,2,FALSE),"")</f>
        <v>RME</v>
      </c>
      <c r="T63" s="5" t="str">
        <f>IFERROR(VLOOKUP(SAISIE!$T63,REF_COUNTRIES!$A:$B,2,FALSE),"")</f>
        <v>RNA</v>
      </c>
      <c r="U63" s="5" t="str">
        <f>IFERROR(VLOOKUP(SAISIE!$U63,REF_COUNTRIES!$A:$B,2,FALSE),"")</f>
        <v>RAS</v>
      </c>
      <c r="V63" s="5" t="str">
        <f>IFERROR(VLOOKUP(SAISIE!$V63,REF_COUNTRIES!$A:$B,2,FALSE),"")</f>
        <v>RAF</v>
      </c>
    </row>
    <row r="64" spans="1:22" x14ac:dyDescent="0.25">
      <c r="A64" s="5" t="str">
        <f>SAISIE!$A64</f>
        <v>Produit Test 063 - Manteau / Veste</v>
      </c>
      <c r="B64" s="5" t="str">
        <f>IFERROR(VLOOKUP(SAISIE!$B64,REF_PRODUCTS!$A:$B,2,FALSE),"")</f>
        <v>manteau</v>
      </c>
      <c r="C64" s="5">
        <f>SAISIE!$C64</f>
        <v>0.22</v>
      </c>
      <c r="D64" s="5" t="str">
        <f>IFERROR(VLOOKUP(SAISIE!$D64,REF_MATERIALS!$A:$B,2,FALSE),"")</f>
        <v>c087d394-5901-4b03-ba7a-7d4b0db0490c</v>
      </c>
      <c r="E64" s="5">
        <f>SAISIE!$E64</f>
        <v>0.62</v>
      </c>
      <c r="F64" s="5" t="str">
        <f>IFERROR(VLOOKUP(SAISIE!$F64,REF_COUNTRIES!$A:$B,2,FALSE),"")</f>
        <v>---</v>
      </c>
      <c r="G64" s="5" t="str">
        <f>IFERROR(VLOOKUP(SAISIE!$G64,REF_MATERIALS!$A:$B,2,FALSE),"")</f>
        <v>c84280ff-e921-4d5c-92d6-51030bf4f74e</v>
      </c>
      <c r="H64" s="5">
        <f>SAISIE!$H64</f>
        <v>0.38</v>
      </c>
      <c r="I64" s="5" t="str">
        <f>IFERROR(VLOOKUP(SAISIE!$I64,REF_COUNTRIES!$A:$B,2,FALSE),"")</f>
        <v>KH</v>
      </c>
      <c r="J64" s="5" t="str">
        <f>IFERROR(VLOOKUP(SAISIE!$J64,REF_MATERIALS!$A:$B,2,FALSE),"")</f>
        <v/>
      </c>
      <c r="K64" s="5">
        <f>SAISIE!$K64</f>
        <v>0</v>
      </c>
      <c r="L64" s="5" t="str">
        <f>IFERROR(VLOOKUP(SAISIE!$L64,REF_COUNTRIES!$A:$B,2,FALSE),"")</f>
        <v/>
      </c>
      <c r="M64" s="5" t="str">
        <f>IFERROR(VLOOKUP(SAISIE!$M64,REF_MATERIALS!$A:$B,2,FALSE),"")</f>
        <v/>
      </c>
      <c r="N64" s="5">
        <f>SAISIE!$N64</f>
        <v>0</v>
      </c>
      <c r="O64" s="5" t="str">
        <f>IFERROR(VLOOKUP(SAISIE!$O64,REF_COUNTRIES!$A:$B,2,FALSE),"")</f>
        <v/>
      </c>
      <c r="P64" s="5" t="str">
        <f>IFERROR(VLOOKUP(SAISIE!$P64,REF_MATERIALS!$A:$B,2,FALSE),"")</f>
        <v/>
      </c>
      <c r="Q64" s="5">
        <f>SAISIE!$Q64</f>
        <v>0</v>
      </c>
      <c r="R64" s="5" t="str">
        <f>IFERROR(VLOOKUP(SAISIE!$R64,REF_COUNTRIES!$A:$B,2,FALSE),"")</f>
        <v/>
      </c>
      <c r="S64" s="5" t="str">
        <f>IFERROR(VLOOKUP(SAISIE!$S64,REF_COUNTRIES!$A:$B,2,FALSE),"")</f>
        <v>FR</v>
      </c>
      <c r="T64" s="5" t="str">
        <f>IFERROR(VLOOKUP(SAISIE!$T64,REF_COUNTRIES!$A:$B,2,FALSE),"")</f>
        <v>REE</v>
      </c>
      <c r="U64" s="5" t="str">
        <f>IFERROR(VLOOKUP(SAISIE!$U64,REF_COUNTRIES!$A:$B,2,FALSE),"")</f>
        <v>FR</v>
      </c>
      <c r="V64" s="5" t="str">
        <f>IFERROR(VLOOKUP(SAISIE!$V64,REF_COUNTRIES!$A:$B,2,FALSE),"")</f>
        <v>MM</v>
      </c>
    </row>
    <row r="65" spans="1:22" x14ac:dyDescent="0.25">
      <c r="A65" s="5" t="str">
        <f>SAISIE!$A65</f>
        <v>Produit Test 064 - Chaussettes</v>
      </c>
      <c r="B65" s="5" t="str">
        <f>IFERROR(VLOOKUP(SAISIE!$B65,REF_PRODUCTS!$A:$B,2,FALSE),"")</f>
        <v>chaussettes</v>
      </c>
      <c r="C65" s="5">
        <f>SAISIE!$C65</f>
        <v>0.05</v>
      </c>
      <c r="D65" s="5" t="str">
        <f>IFERROR(VLOOKUP(SAISIE!$D65,REF_MATERIALS!$A:$B,2,FALSE),"")</f>
        <v>a09b2677-2900-4417-a202-e5f9a1abcce1</v>
      </c>
      <c r="E65" s="5">
        <f>SAISIE!$E65</f>
        <v>0.79</v>
      </c>
      <c r="F65" s="5" t="str">
        <f>IFERROR(VLOOKUP(SAISIE!$F65,REF_COUNTRIES!$A:$B,2,FALSE),"")</f>
        <v>VN</v>
      </c>
      <c r="G65" s="5" t="str">
        <f>IFERROR(VLOOKUP(SAISIE!$G65,REF_MATERIALS!$A:$B,2,FALSE),"")</f>
        <v>62a4d6fb-3276-4ba5-93a3-889ecd3bff84</v>
      </c>
      <c r="H65" s="5">
        <f>SAISIE!$H65</f>
        <v>0.21</v>
      </c>
      <c r="I65" s="5" t="str">
        <f>IFERROR(VLOOKUP(SAISIE!$I65,REF_COUNTRIES!$A:$B,2,FALSE),"")</f>
        <v>---</v>
      </c>
      <c r="J65" s="5" t="str">
        <f>IFERROR(VLOOKUP(SAISIE!$J65,REF_MATERIALS!$A:$B,2,FALSE),"")</f>
        <v/>
      </c>
      <c r="K65" s="5">
        <f>SAISIE!$K65</f>
        <v>0</v>
      </c>
      <c r="L65" s="5" t="str">
        <f>IFERROR(VLOOKUP(SAISIE!$L65,REF_COUNTRIES!$A:$B,2,FALSE),"")</f>
        <v/>
      </c>
      <c r="M65" s="5" t="str">
        <f>IFERROR(VLOOKUP(SAISIE!$M65,REF_MATERIALS!$A:$B,2,FALSE),"")</f>
        <v/>
      </c>
      <c r="N65" s="5">
        <f>SAISIE!$N65</f>
        <v>0</v>
      </c>
      <c r="O65" s="5" t="str">
        <f>IFERROR(VLOOKUP(SAISIE!$O65,REF_COUNTRIES!$A:$B,2,FALSE),"")</f>
        <v/>
      </c>
      <c r="P65" s="5" t="str">
        <f>IFERROR(VLOOKUP(SAISIE!$P65,REF_MATERIALS!$A:$B,2,FALSE),"")</f>
        <v/>
      </c>
      <c r="Q65" s="5">
        <f>SAISIE!$Q65</f>
        <v>0</v>
      </c>
      <c r="R65" s="5" t="str">
        <f>IFERROR(VLOOKUP(SAISIE!$R65,REF_COUNTRIES!$A:$B,2,FALSE),"")</f>
        <v/>
      </c>
      <c r="S65" s="5" t="str">
        <f>IFERROR(VLOOKUP(SAISIE!$S65,REF_COUNTRIES!$A:$B,2,FALSE),"")</f>
        <v>FR</v>
      </c>
      <c r="T65" s="5" t="str">
        <f>IFERROR(VLOOKUP(SAISIE!$T65,REF_COUNTRIES!$A:$B,2,FALSE),"")</f>
        <v>RNA</v>
      </c>
      <c r="U65" s="5" t="str">
        <f>IFERROR(VLOOKUP(SAISIE!$U65,REF_COUNTRIES!$A:$B,2,FALSE),"")</f>
        <v>TR</v>
      </c>
      <c r="V65" s="5" t="str">
        <f>IFERROR(VLOOKUP(SAISIE!$V65,REF_COUNTRIES!$A:$B,2,FALSE),"")</f>
        <v>RAS</v>
      </c>
    </row>
    <row r="66" spans="1:22" x14ac:dyDescent="0.25">
      <c r="A66" s="5" t="str">
        <f>SAISIE!$A66</f>
        <v>Produit Test 065 - Chaussettes</v>
      </c>
      <c r="B66" s="5" t="str">
        <f>IFERROR(VLOOKUP(SAISIE!$B66,REF_PRODUCTS!$A:$B,2,FALSE),"")</f>
        <v>chaussettes</v>
      </c>
      <c r="C66" s="5">
        <f>SAISIE!$C66</f>
        <v>0.08</v>
      </c>
      <c r="D66" s="5" t="str">
        <f>IFERROR(VLOOKUP(SAISIE!$D66,REF_MATERIALS!$A:$B,2,FALSE),"")</f>
        <v>457e9b0d-9eda-4dca-b199-deeb0a154fa9</v>
      </c>
      <c r="E66" s="5">
        <f>SAISIE!$E66</f>
        <v>1</v>
      </c>
      <c r="F66" s="5" t="str">
        <f>IFERROR(VLOOKUP(SAISIE!$F66,REF_COUNTRIES!$A:$B,2,FALSE),"")</f>
        <v>VN</v>
      </c>
      <c r="G66" s="5" t="str">
        <f>IFERROR(VLOOKUP(SAISIE!$G66,REF_MATERIALS!$A:$B,2,FALSE),"")</f>
        <v/>
      </c>
      <c r="H66" s="5">
        <f>SAISIE!$H66</f>
        <v>0</v>
      </c>
      <c r="I66" s="5" t="str">
        <f>IFERROR(VLOOKUP(SAISIE!$I66,REF_COUNTRIES!$A:$B,2,FALSE),"")</f>
        <v/>
      </c>
      <c r="J66" s="5" t="str">
        <f>IFERROR(VLOOKUP(SAISIE!$J66,REF_MATERIALS!$A:$B,2,FALSE),"")</f>
        <v/>
      </c>
      <c r="K66" s="5">
        <f>SAISIE!$K66</f>
        <v>0</v>
      </c>
      <c r="L66" s="5" t="str">
        <f>IFERROR(VLOOKUP(SAISIE!$L66,REF_COUNTRIES!$A:$B,2,FALSE),"")</f>
        <v/>
      </c>
      <c r="M66" s="5" t="str">
        <f>IFERROR(VLOOKUP(SAISIE!$M66,REF_MATERIALS!$A:$B,2,FALSE),"")</f>
        <v/>
      </c>
      <c r="N66" s="5">
        <f>SAISIE!$N66</f>
        <v>0</v>
      </c>
      <c r="O66" s="5" t="str">
        <f>IFERROR(VLOOKUP(SAISIE!$O66,REF_COUNTRIES!$A:$B,2,FALSE),"")</f>
        <v/>
      </c>
      <c r="P66" s="5" t="str">
        <f>IFERROR(VLOOKUP(SAISIE!$P66,REF_MATERIALS!$A:$B,2,FALSE),"")</f>
        <v/>
      </c>
      <c r="Q66" s="5">
        <f>SAISIE!$Q66</f>
        <v>0</v>
      </c>
      <c r="R66" s="5" t="str">
        <f>IFERROR(VLOOKUP(SAISIE!$R66,REF_COUNTRIES!$A:$B,2,FALSE),"")</f>
        <v/>
      </c>
      <c r="S66" s="5" t="str">
        <f>IFERROR(VLOOKUP(SAISIE!$S66,REF_COUNTRIES!$A:$B,2,FALSE),"")</f>
        <v>BD</v>
      </c>
      <c r="T66" s="5" t="str">
        <f>IFERROR(VLOOKUP(SAISIE!$T66,REF_COUNTRIES!$A:$B,2,FALSE),"")</f>
        <v>REE</v>
      </c>
      <c r="U66" s="5" t="str">
        <f>IFERROR(VLOOKUP(SAISIE!$U66,REF_COUNTRIES!$A:$B,2,FALSE),"")</f>
        <v>---</v>
      </c>
      <c r="V66" s="5" t="str">
        <f>IFERROR(VLOOKUP(SAISIE!$V66,REF_COUNTRIES!$A:$B,2,FALSE),"")</f>
        <v>TN</v>
      </c>
    </row>
    <row r="67" spans="1:22" x14ac:dyDescent="0.25">
      <c r="A67" s="5" t="str">
        <f>SAISIE!$A67</f>
        <v>Produit Test 066 - Manteau / Veste</v>
      </c>
      <c r="B67" s="5" t="str">
        <f>IFERROR(VLOOKUP(SAISIE!$B67,REF_PRODUCTS!$A:$B,2,FALSE),"")</f>
        <v>manteau</v>
      </c>
      <c r="C67" s="5">
        <f>SAISIE!$C67</f>
        <v>0.27</v>
      </c>
      <c r="D67" s="5" t="str">
        <f>IFERROR(VLOOKUP(SAISIE!$D67,REF_MATERIALS!$A:$B,2,FALSE),"")</f>
        <v>9dba0e95-0c35-4f8b-9267-62ddf47d4984</v>
      </c>
      <c r="E67" s="5">
        <f>SAISIE!$E67</f>
        <v>1</v>
      </c>
      <c r="F67" s="5" t="str">
        <f>IFERROR(VLOOKUP(SAISIE!$F67,REF_COUNTRIES!$A:$B,2,FALSE),"")</f>
        <v>IN</v>
      </c>
      <c r="G67" s="5" t="str">
        <f>IFERROR(VLOOKUP(SAISIE!$G67,REF_MATERIALS!$A:$B,2,FALSE),"")</f>
        <v/>
      </c>
      <c r="H67" s="5">
        <f>SAISIE!$H67</f>
        <v>0</v>
      </c>
      <c r="I67" s="5" t="str">
        <f>IFERROR(VLOOKUP(SAISIE!$I67,REF_COUNTRIES!$A:$B,2,FALSE),"")</f>
        <v/>
      </c>
      <c r="J67" s="5" t="str">
        <f>IFERROR(VLOOKUP(SAISIE!$J67,REF_MATERIALS!$A:$B,2,FALSE),"")</f>
        <v/>
      </c>
      <c r="K67" s="5">
        <f>SAISIE!$K67</f>
        <v>0</v>
      </c>
      <c r="L67" s="5" t="str">
        <f>IFERROR(VLOOKUP(SAISIE!$L67,REF_COUNTRIES!$A:$B,2,FALSE),"")</f>
        <v/>
      </c>
      <c r="M67" s="5" t="str">
        <f>IFERROR(VLOOKUP(SAISIE!$M67,REF_MATERIALS!$A:$B,2,FALSE),"")</f>
        <v/>
      </c>
      <c r="N67" s="5">
        <f>SAISIE!$N67</f>
        <v>0</v>
      </c>
      <c r="O67" s="5" t="str">
        <f>IFERROR(VLOOKUP(SAISIE!$O67,REF_COUNTRIES!$A:$B,2,FALSE),"")</f>
        <v/>
      </c>
      <c r="P67" s="5" t="str">
        <f>IFERROR(VLOOKUP(SAISIE!$P67,REF_MATERIALS!$A:$B,2,FALSE),"")</f>
        <v/>
      </c>
      <c r="Q67" s="5">
        <f>SAISIE!$Q67</f>
        <v>0</v>
      </c>
      <c r="R67" s="5" t="str">
        <f>IFERROR(VLOOKUP(SAISIE!$R67,REF_COUNTRIES!$A:$B,2,FALSE),"")</f>
        <v/>
      </c>
      <c r="S67" s="5" t="str">
        <f>IFERROR(VLOOKUP(SAISIE!$S67,REF_COUNTRIES!$A:$B,2,FALSE),"")</f>
        <v>RLA</v>
      </c>
      <c r="T67" s="5" t="str">
        <f>IFERROR(VLOOKUP(SAISIE!$T67,REF_COUNTRIES!$A:$B,2,FALSE),"")</f>
        <v>RME</v>
      </c>
      <c r="U67" s="5" t="str">
        <f>IFERROR(VLOOKUP(SAISIE!$U67,REF_COUNTRIES!$A:$B,2,FALSE),"")</f>
        <v>PK</v>
      </c>
      <c r="V67" s="5" t="str">
        <f>IFERROR(VLOOKUP(SAISIE!$V67,REF_COUNTRIES!$A:$B,2,FALSE),"")</f>
        <v>MA</v>
      </c>
    </row>
    <row r="68" spans="1:22" x14ac:dyDescent="0.25">
      <c r="A68" s="5" t="str">
        <f>SAISIE!$A68</f>
        <v>Produit Test 067 - Manteau / Veste</v>
      </c>
      <c r="B68" s="5" t="str">
        <f>IFERROR(VLOOKUP(SAISIE!$B68,REF_PRODUCTS!$A:$B,2,FALSE),"")</f>
        <v>manteau</v>
      </c>
      <c r="C68" s="5">
        <f>SAISIE!$C68</f>
        <v>0.18</v>
      </c>
      <c r="D68" s="5" t="str">
        <f>IFERROR(VLOOKUP(SAISIE!$D68,REF_MATERIALS!$A:$B,2,FALSE),"")</f>
        <v>457e9b0d-9eda-4dca-b199-deeb0a154fa9</v>
      </c>
      <c r="E68" s="5">
        <f>SAISIE!$E68</f>
        <v>0.88</v>
      </c>
      <c r="F68" s="5" t="str">
        <f>IFERROR(VLOOKUP(SAISIE!$F68,REF_COUNTRIES!$A:$B,2,FALSE),"")</f>
        <v>REE</v>
      </c>
      <c r="G68" s="5" t="str">
        <f>IFERROR(VLOOKUP(SAISIE!$G68,REF_MATERIALS!$A:$B,2,FALSE),"")</f>
        <v>8f44c680-1263-4588-b79b-a9e4dc3d8de4</v>
      </c>
      <c r="H68" s="5">
        <f>SAISIE!$H68</f>
        <v>0.12</v>
      </c>
      <c r="I68" s="5" t="str">
        <f>IFERROR(VLOOKUP(SAISIE!$I68,REF_COUNTRIES!$A:$B,2,FALSE),"")</f>
        <v>REO</v>
      </c>
      <c r="J68" s="5" t="str">
        <f>IFERROR(VLOOKUP(SAISIE!$J68,REF_MATERIALS!$A:$B,2,FALSE),"")</f>
        <v/>
      </c>
      <c r="K68" s="5">
        <f>SAISIE!$K68</f>
        <v>0</v>
      </c>
      <c r="L68" s="5" t="str">
        <f>IFERROR(VLOOKUP(SAISIE!$L68,REF_COUNTRIES!$A:$B,2,FALSE),"")</f>
        <v/>
      </c>
      <c r="M68" s="5" t="str">
        <f>IFERROR(VLOOKUP(SAISIE!$M68,REF_MATERIALS!$A:$B,2,FALSE),"")</f>
        <v/>
      </c>
      <c r="N68" s="5">
        <f>SAISIE!$N68</f>
        <v>0</v>
      </c>
      <c r="O68" s="5" t="str">
        <f>IFERROR(VLOOKUP(SAISIE!$O68,REF_COUNTRIES!$A:$B,2,FALSE),"")</f>
        <v/>
      </c>
      <c r="P68" s="5" t="str">
        <f>IFERROR(VLOOKUP(SAISIE!$P68,REF_MATERIALS!$A:$B,2,FALSE),"")</f>
        <v/>
      </c>
      <c r="Q68" s="5">
        <f>SAISIE!$Q68</f>
        <v>0</v>
      </c>
      <c r="R68" s="5" t="str">
        <f>IFERROR(VLOOKUP(SAISIE!$R68,REF_COUNTRIES!$A:$B,2,FALSE),"")</f>
        <v/>
      </c>
      <c r="S68" s="5" t="str">
        <f>IFERROR(VLOOKUP(SAISIE!$S68,REF_COUNTRIES!$A:$B,2,FALSE),"")</f>
        <v>KH</v>
      </c>
      <c r="T68" s="5" t="str">
        <f>IFERROR(VLOOKUP(SAISIE!$T68,REF_COUNTRIES!$A:$B,2,FALSE),"")</f>
        <v>MA</v>
      </c>
      <c r="U68" s="5" t="str">
        <f>IFERROR(VLOOKUP(SAISIE!$U68,REF_COUNTRIES!$A:$B,2,FALSE),"")</f>
        <v>MA</v>
      </c>
      <c r="V68" s="5" t="str">
        <f>IFERROR(VLOOKUP(SAISIE!$V68,REF_COUNTRIES!$A:$B,2,FALSE),"")</f>
        <v>PK</v>
      </c>
    </row>
    <row r="69" spans="1:22" x14ac:dyDescent="0.25">
      <c r="A69" s="5" t="str">
        <f>SAISIE!$A69</f>
        <v>Produit Test 068 - Caleçon (tissé)</v>
      </c>
      <c r="B69" s="5" t="str">
        <f>IFERROR(VLOOKUP(SAISIE!$B69,REF_PRODUCTS!$A:$B,2,FALSE),"")</f>
        <v>calecon</v>
      </c>
      <c r="C69" s="5">
        <f>SAISIE!$C69</f>
        <v>0.28999999999999998</v>
      </c>
      <c r="D69" s="5" t="str">
        <f>IFERROR(VLOOKUP(SAISIE!$D69,REF_MATERIALS!$A:$B,2,FALSE),"")</f>
        <v>a09b2677-2900-4417-a202-e5f9a1abcce1</v>
      </c>
      <c r="E69" s="5">
        <f>SAISIE!$E69</f>
        <v>1</v>
      </c>
      <c r="F69" s="5" t="str">
        <f>IFERROR(VLOOKUP(SAISIE!$F69,REF_COUNTRIES!$A:$B,2,FALSE),"")</f>
        <v>CN</v>
      </c>
      <c r="G69" s="5" t="str">
        <f>IFERROR(VLOOKUP(SAISIE!$G69,REF_MATERIALS!$A:$B,2,FALSE),"")</f>
        <v/>
      </c>
      <c r="H69" s="5">
        <f>SAISIE!$H69</f>
        <v>0</v>
      </c>
      <c r="I69" s="5" t="str">
        <f>IFERROR(VLOOKUP(SAISIE!$I69,REF_COUNTRIES!$A:$B,2,FALSE),"")</f>
        <v/>
      </c>
      <c r="J69" s="5" t="str">
        <f>IFERROR(VLOOKUP(SAISIE!$J69,REF_MATERIALS!$A:$B,2,FALSE),"")</f>
        <v/>
      </c>
      <c r="K69" s="5">
        <f>SAISIE!$K69</f>
        <v>0</v>
      </c>
      <c r="L69" s="5" t="str">
        <f>IFERROR(VLOOKUP(SAISIE!$L69,REF_COUNTRIES!$A:$B,2,FALSE),"")</f>
        <v/>
      </c>
      <c r="M69" s="5" t="str">
        <f>IFERROR(VLOOKUP(SAISIE!$M69,REF_MATERIALS!$A:$B,2,FALSE),"")</f>
        <v/>
      </c>
      <c r="N69" s="5">
        <f>SAISIE!$N69</f>
        <v>0</v>
      </c>
      <c r="O69" s="5" t="str">
        <f>IFERROR(VLOOKUP(SAISIE!$O69,REF_COUNTRIES!$A:$B,2,FALSE),"")</f>
        <v/>
      </c>
      <c r="P69" s="5" t="str">
        <f>IFERROR(VLOOKUP(SAISIE!$P69,REF_MATERIALS!$A:$B,2,FALSE),"")</f>
        <v/>
      </c>
      <c r="Q69" s="5">
        <f>SAISIE!$Q69</f>
        <v>0</v>
      </c>
      <c r="R69" s="5" t="str">
        <f>IFERROR(VLOOKUP(SAISIE!$R69,REF_COUNTRIES!$A:$B,2,FALSE),"")</f>
        <v/>
      </c>
      <c r="S69" s="5" t="str">
        <f>IFERROR(VLOOKUP(SAISIE!$S69,REF_COUNTRIES!$A:$B,2,FALSE),"")</f>
        <v>RLA</v>
      </c>
      <c r="T69" s="5" t="str">
        <f>IFERROR(VLOOKUP(SAISIE!$T69,REF_COUNTRIES!$A:$B,2,FALSE),"")</f>
        <v>MM</v>
      </c>
      <c r="U69" s="5" t="str">
        <f>IFERROR(VLOOKUP(SAISIE!$U69,REF_COUNTRIES!$A:$B,2,FALSE),"")</f>
        <v>MM</v>
      </c>
      <c r="V69" s="5" t="str">
        <f>IFERROR(VLOOKUP(SAISIE!$V69,REF_COUNTRIES!$A:$B,2,FALSE),"")</f>
        <v>VN</v>
      </c>
    </row>
    <row r="70" spans="1:22" x14ac:dyDescent="0.25">
      <c r="A70" s="5" t="str">
        <f>SAISIE!$A70</f>
        <v>Produit Test 069 - Chaussettes</v>
      </c>
      <c r="B70" s="5" t="str">
        <f>IFERROR(VLOOKUP(SAISIE!$B70,REF_PRODUCTS!$A:$B,2,FALSE),"")</f>
        <v>chaussettes</v>
      </c>
      <c r="C70" s="5">
        <f>SAISIE!$C70</f>
        <v>7.0000000000000007E-2</v>
      </c>
      <c r="D70" s="5" t="str">
        <f>IFERROR(VLOOKUP(SAISIE!$D70,REF_MATERIALS!$A:$B,2,FALSE),"")</f>
        <v>73ef624d-250e-4a9a-af5d-43505b21b527</v>
      </c>
      <c r="E70" s="5">
        <f>SAISIE!$E70</f>
        <v>0.85</v>
      </c>
      <c r="F70" s="5" t="str">
        <f>IFERROR(VLOOKUP(SAISIE!$F70,REF_COUNTRIES!$A:$B,2,FALSE),"")</f>
        <v>ROC</v>
      </c>
      <c r="G70" s="5" t="str">
        <f>IFERROR(VLOOKUP(SAISIE!$G70,REF_MATERIALS!$A:$B,2,FALSE),"")</f>
        <v>49a0bec0-f9f3-42db-a514-a9dcf06a8969</v>
      </c>
      <c r="H70" s="5">
        <f>SAISIE!$H70</f>
        <v>0.15</v>
      </c>
      <c r="I70" s="5" t="str">
        <f>IFERROR(VLOOKUP(SAISIE!$I70,REF_COUNTRIES!$A:$B,2,FALSE),"")</f>
        <v>REO</v>
      </c>
      <c r="J70" s="5" t="str">
        <f>IFERROR(VLOOKUP(SAISIE!$J70,REF_MATERIALS!$A:$B,2,FALSE),"")</f>
        <v/>
      </c>
      <c r="K70" s="5">
        <f>SAISIE!$K70</f>
        <v>0</v>
      </c>
      <c r="L70" s="5" t="str">
        <f>IFERROR(VLOOKUP(SAISIE!$L70,REF_COUNTRIES!$A:$B,2,FALSE),"")</f>
        <v/>
      </c>
      <c r="M70" s="5" t="str">
        <f>IFERROR(VLOOKUP(SAISIE!$M70,REF_MATERIALS!$A:$B,2,FALSE),"")</f>
        <v/>
      </c>
      <c r="N70" s="5">
        <f>SAISIE!$N70</f>
        <v>0</v>
      </c>
      <c r="O70" s="5" t="str">
        <f>IFERROR(VLOOKUP(SAISIE!$O70,REF_COUNTRIES!$A:$B,2,FALSE),"")</f>
        <v/>
      </c>
      <c r="P70" s="5" t="str">
        <f>IFERROR(VLOOKUP(SAISIE!$P70,REF_MATERIALS!$A:$B,2,FALSE),"")</f>
        <v/>
      </c>
      <c r="Q70" s="5">
        <f>SAISIE!$Q70</f>
        <v>0</v>
      </c>
      <c r="R70" s="5" t="str">
        <f>IFERROR(VLOOKUP(SAISIE!$R70,REF_COUNTRIES!$A:$B,2,FALSE),"")</f>
        <v/>
      </c>
      <c r="S70" s="5" t="str">
        <f>IFERROR(VLOOKUP(SAISIE!$S70,REF_COUNTRIES!$A:$B,2,FALSE),"")</f>
        <v>MM</v>
      </c>
      <c r="T70" s="5" t="str">
        <f>IFERROR(VLOOKUP(SAISIE!$T70,REF_COUNTRIES!$A:$B,2,FALSE),"")</f>
        <v>REO</v>
      </c>
      <c r="U70" s="5" t="str">
        <f>IFERROR(VLOOKUP(SAISIE!$U70,REF_COUNTRIES!$A:$B,2,FALSE),"")</f>
        <v>FR</v>
      </c>
      <c r="V70" s="5" t="str">
        <f>IFERROR(VLOOKUP(SAISIE!$V70,REF_COUNTRIES!$A:$B,2,FALSE),"")</f>
        <v>---</v>
      </c>
    </row>
    <row r="71" spans="1:22" x14ac:dyDescent="0.25">
      <c r="A71" s="5" t="str">
        <f>SAISIE!$A71</f>
        <v>Produit Test 070 - Chaussettes</v>
      </c>
      <c r="B71" s="5" t="str">
        <f>IFERROR(VLOOKUP(SAISIE!$B71,REF_PRODUCTS!$A:$B,2,FALSE),"")</f>
        <v>chaussettes</v>
      </c>
      <c r="C71" s="5">
        <f>SAISIE!$C71</f>
        <v>0.11</v>
      </c>
      <c r="D71" s="5" t="str">
        <f>IFERROR(VLOOKUP(SAISIE!$D71,REF_MATERIALS!$A:$B,2,FALSE),"")</f>
        <v>73ef624d-250e-4a9a-af5d-43505b21b527</v>
      </c>
      <c r="E71" s="5">
        <f>SAISIE!$E71</f>
        <v>1</v>
      </c>
      <c r="F71" s="5" t="str">
        <f>IFERROR(VLOOKUP(SAISIE!$F71,REF_COUNTRIES!$A:$B,2,FALSE),"")</f>
        <v>RAS</v>
      </c>
      <c r="G71" s="5" t="str">
        <f>IFERROR(VLOOKUP(SAISIE!$G71,REF_MATERIALS!$A:$B,2,FALSE),"")</f>
        <v/>
      </c>
      <c r="H71" s="5">
        <f>SAISIE!$H71</f>
        <v>0</v>
      </c>
      <c r="I71" s="5" t="str">
        <f>IFERROR(VLOOKUP(SAISIE!$I71,REF_COUNTRIES!$A:$B,2,FALSE),"")</f>
        <v/>
      </c>
      <c r="J71" s="5" t="str">
        <f>IFERROR(VLOOKUP(SAISIE!$J71,REF_MATERIALS!$A:$B,2,FALSE),"")</f>
        <v/>
      </c>
      <c r="K71" s="5">
        <f>SAISIE!$K71</f>
        <v>0</v>
      </c>
      <c r="L71" s="5" t="str">
        <f>IFERROR(VLOOKUP(SAISIE!$L71,REF_COUNTRIES!$A:$B,2,FALSE),"")</f>
        <v/>
      </c>
      <c r="M71" s="5" t="str">
        <f>IFERROR(VLOOKUP(SAISIE!$M71,REF_MATERIALS!$A:$B,2,FALSE),"")</f>
        <v/>
      </c>
      <c r="N71" s="5">
        <f>SAISIE!$N71</f>
        <v>0</v>
      </c>
      <c r="O71" s="5" t="str">
        <f>IFERROR(VLOOKUP(SAISIE!$O71,REF_COUNTRIES!$A:$B,2,FALSE),"")</f>
        <v/>
      </c>
      <c r="P71" s="5" t="str">
        <f>IFERROR(VLOOKUP(SAISIE!$P71,REF_MATERIALS!$A:$B,2,FALSE),"")</f>
        <v/>
      </c>
      <c r="Q71" s="5">
        <f>SAISIE!$Q71</f>
        <v>0</v>
      </c>
      <c r="R71" s="5" t="str">
        <f>IFERROR(VLOOKUP(SAISIE!$R71,REF_COUNTRIES!$A:$B,2,FALSE),"")</f>
        <v/>
      </c>
      <c r="S71" s="5" t="str">
        <f>IFERROR(VLOOKUP(SAISIE!$S71,REF_COUNTRIES!$A:$B,2,FALSE),"")</f>
        <v>TR</v>
      </c>
      <c r="T71" s="5" t="str">
        <f>IFERROR(VLOOKUP(SAISIE!$T71,REF_COUNTRIES!$A:$B,2,FALSE),"")</f>
        <v>IN</v>
      </c>
      <c r="U71" s="5" t="str">
        <f>IFERROR(VLOOKUP(SAISIE!$U71,REF_COUNTRIES!$A:$B,2,FALSE),"")</f>
        <v>RLA</v>
      </c>
      <c r="V71" s="5" t="str">
        <f>IFERROR(VLOOKUP(SAISIE!$V71,REF_COUNTRIES!$A:$B,2,FALSE),"")</f>
        <v>REO</v>
      </c>
    </row>
    <row r="72" spans="1:22" x14ac:dyDescent="0.25">
      <c r="A72" s="5" t="str">
        <f>SAISIE!$A72</f>
        <v>Produit Test 071 - Chemise</v>
      </c>
      <c r="B72" s="5" t="str">
        <f>IFERROR(VLOOKUP(SAISIE!$B72,REF_PRODUCTS!$A:$B,2,FALSE),"")</f>
        <v>chemise</v>
      </c>
      <c r="C72" s="5">
        <f>SAISIE!$C72</f>
        <v>0.22</v>
      </c>
      <c r="D72" s="5" t="str">
        <f>IFERROR(VLOOKUP(SAISIE!$D72,REF_MATERIALS!$A:$B,2,FALSE),"")</f>
        <v>1fc3e17d-5661-429d-a150-7986eae16d9d</v>
      </c>
      <c r="E72" s="5">
        <f>SAISIE!$E72</f>
        <v>0.51</v>
      </c>
      <c r="F72" s="5" t="str">
        <f>IFERROR(VLOOKUP(SAISIE!$F72,REF_COUNTRIES!$A:$B,2,FALSE),"")</f>
        <v>KH</v>
      </c>
      <c r="G72" s="5" t="str">
        <f>IFERROR(VLOOKUP(SAISIE!$G72,REF_MATERIALS!$A:$B,2,FALSE),"")</f>
        <v>a09b2677-2900-4417-a202-e5f9a1abcce1</v>
      </c>
      <c r="H72" s="5">
        <f>SAISIE!$H72</f>
        <v>0.49</v>
      </c>
      <c r="I72" s="5" t="str">
        <f>IFERROR(VLOOKUP(SAISIE!$I72,REF_COUNTRIES!$A:$B,2,FALSE),"")</f>
        <v>RLA</v>
      </c>
      <c r="J72" s="5" t="str">
        <f>IFERROR(VLOOKUP(SAISIE!$J72,REF_MATERIALS!$A:$B,2,FALSE),"")</f>
        <v/>
      </c>
      <c r="K72" s="5">
        <f>SAISIE!$K72</f>
        <v>0</v>
      </c>
      <c r="L72" s="5" t="str">
        <f>IFERROR(VLOOKUP(SAISIE!$L72,REF_COUNTRIES!$A:$B,2,FALSE),"")</f>
        <v/>
      </c>
      <c r="M72" s="5" t="str">
        <f>IFERROR(VLOOKUP(SAISIE!$M72,REF_MATERIALS!$A:$B,2,FALSE),"")</f>
        <v/>
      </c>
      <c r="N72" s="5">
        <f>SAISIE!$N72</f>
        <v>0</v>
      </c>
      <c r="O72" s="5" t="str">
        <f>IFERROR(VLOOKUP(SAISIE!$O72,REF_COUNTRIES!$A:$B,2,FALSE),"")</f>
        <v/>
      </c>
      <c r="P72" s="5" t="str">
        <f>IFERROR(VLOOKUP(SAISIE!$P72,REF_MATERIALS!$A:$B,2,FALSE),"")</f>
        <v/>
      </c>
      <c r="Q72" s="5">
        <f>SAISIE!$Q72</f>
        <v>0</v>
      </c>
      <c r="R72" s="5" t="str">
        <f>IFERROR(VLOOKUP(SAISIE!$R72,REF_COUNTRIES!$A:$B,2,FALSE),"")</f>
        <v/>
      </c>
      <c r="S72" s="5" t="str">
        <f>IFERROR(VLOOKUP(SAISIE!$S72,REF_COUNTRIES!$A:$B,2,FALSE),"")</f>
        <v>VN</v>
      </c>
      <c r="T72" s="5" t="str">
        <f>IFERROR(VLOOKUP(SAISIE!$T72,REF_COUNTRIES!$A:$B,2,FALSE),"")</f>
        <v>VN</v>
      </c>
      <c r="U72" s="5" t="str">
        <f>IFERROR(VLOOKUP(SAISIE!$U72,REF_COUNTRIES!$A:$B,2,FALSE),"")</f>
        <v>RLA</v>
      </c>
      <c r="V72" s="5" t="str">
        <f>IFERROR(VLOOKUP(SAISIE!$V72,REF_COUNTRIES!$A:$B,2,FALSE),"")</f>
        <v>TN</v>
      </c>
    </row>
    <row r="73" spans="1:22" x14ac:dyDescent="0.25">
      <c r="A73" s="5" t="str">
        <f>SAISIE!$A73</f>
        <v>Produit Test 072 - Maillot de bain</v>
      </c>
      <c r="B73" s="5" t="str">
        <f>IFERROR(VLOOKUP(SAISIE!$B73,REF_PRODUCTS!$A:$B,2,FALSE),"")</f>
        <v>maillot-de-bain</v>
      </c>
      <c r="C73" s="5">
        <f>SAISIE!$C73</f>
        <v>0.38</v>
      </c>
      <c r="D73" s="5" t="str">
        <f>IFERROR(VLOOKUP(SAISIE!$D73,REF_MATERIALS!$A:$B,2,FALSE),"")</f>
        <v>72e29a61-52a9-4eb5-b3fc-5fb87edea041</v>
      </c>
      <c r="E73" s="5">
        <f>SAISIE!$E73</f>
        <v>1</v>
      </c>
      <c r="F73" s="5" t="str">
        <f>IFERROR(VLOOKUP(SAISIE!$F73,REF_COUNTRIES!$A:$B,2,FALSE),"")</f>
        <v>RNA</v>
      </c>
      <c r="G73" s="5" t="str">
        <f>IFERROR(VLOOKUP(SAISIE!$G73,REF_MATERIALS!$A:$B,2,FALSE),"")</f>
        <v/>
      </c>
      <c r="H73" s="5">
        <f>SAISIE!$H73</f>
        <v>0</v>
      </c>
      <c r="I73" s="5" t="str">
        <f>IFERROR(VLOOKUP(SAISIE!$I73,REF_COUNTRIES!$A:$B,2,FALSE),"")</f>
        <v/>
      </c>
      <c r="J73" s="5" t="str">
        <f>IFERROR(VLOOKUP(SAISIE!$J73,REF_MATERIALS!$A:$B,2,FALSE),"")</f>
        <v/>
      </c>
      <c r="K73" s="5">
        <f>SAISIE!$K73</f>
        <v>0</v>
      </c>
      <c r="L73" s="5" t="str">
        <f>IFERROR(VLOOKUP(SAISIE!$L73,REF_COUNTRIES!$A:$B,2,FALSE),"")</f>
        <v/>
      </c>
      <c r="M73" s="5" t="str">
        <f>IFERROR(VLOOKUP(SAISIE!$M73,REF_MATERIALS!$A:$B,2,FALSE),"")</f>
        <v/>
      </c>
      <c r="N73" s="5">
        <f>SAISIE!$N73</f>
        <v>0</v>
      </c>
      <c r="O73" s="5" t="str">
        <f>IFERROR(VLOOKUP(SAISIE!$O73,REF_COUNTRIES!$A:$B,2,FALSE),"")</f>
        <v/>
      </c>
      <c r="P73" s="5" t="str">
        <f>IFERROR(VLOOKUP(SAISIE!$P73,REF_MATERIALS!$A:$B,2,FALSE),"")</f>
        <v/>
      </c>
      <c r="Q73" s="5">
        <f>SAISIE!$Q73</f>
        <v>0</v>
      </c>
      <c r="R73" s="5" t="str">
        <f>IFERROR(VLOOKUP(SAISIE!$R73,REF_COUNTRIES!$A:$B,2,FALSE),"")</f>
        <v/>
      </c>
      <c r="S73" s="5" t="str">
        <f>IFERROR(VLOOKUP(SAISIE!$S73,REF_COUNTRIES!$A:$B,2,FALSE),"")</f>
        <v>REE</v>
      </c>
      <c r="T73" s="5" t="str">
        <f>IFERROR(VLOOKUP(SAISIE!$T73,REF_COUNTRIES!$A:$B,2,FALSE),"")</f>
        <v>RAS</v>
      </c>
      <c r="U73" s="5" t="str">
        <f>IFERROR(VLOOKUP(SAISIE!$U73,REF_COUNTRIES!$A:$B,2,FALSE),"")</f>
        <v>PK</v>
      </c>
      <c r="V73" s="5" t="str">
        <f>IFERROR(VLOOKUP(SAISIE!$V73,REF_COUNTRIES!$A:$B,2,FALSE),"")</f>
        <v>VN</v>
      </c>
    </row>
    <row r="74" spans="1:22" x14ac:dyDescent="0.25">
      <c r="A74" s="5" t="str">
        <f>SAISIE!$A74</f>
        <v>Produit Test 073 - Manteau / Veste</v>
      </c>
      <c r="B74" s="5" t="str">
        <f>IFERROR(VLOOKUP(SAISIE!$B74,REF_PRODUCTS!$A:$B,2,FALSE),"")</f>
        <v>manteau</v>
      </c>
      <c r="C74" s="5">
        <f>SAISIE!$C74</f>
        <v>0.28000000000000003</v>
      </c>
      <c r="D74" s="5" t="str">
        <f>IFERROR(VLOOKUP(SAISIE!$D74,REF_MATERIALS!$A:$B,2,FALSE),"")</f>
        <v>8f44c680-1263-4588-b79b-a9e4dc3d8de4</v>
      </c>
      <c r="E74" s="5">
        <f>SAISIE!$E74</f>
        <v>1</v>
      </c>
      <c r="F74" s="5" t="str">
        <f>IFERROR(VLOOKUP(SAISIE!$F74,REF_COUNTRIES!$A:$B,2,FALSE),"")</f>
        <v>RAS</v>
      </c>
      <c r="G74" s="5" t="str">
        <f>IFERROR(VLOOKUP(SAISIE!$G74,REF_MATERIALS!$A:$B,2,FALSE),"")</f>
        <v/>
      </c>
      <c r="H74" s="5">
        <f>SAISIE!$H74</f>
        <v>0</v>
      </c>
      <c r="I74" s="5" t="str">
        <f>IFERROR(VLOOKUP(SAISIE!$I74,REF_COUNTRIES!$A:$B,2,FALSE),"")</f>
        <v/>
      </c>
      <c r="J74" s="5" t="str">
        <f>IFERROR(VLOOKUP(SAISIE!$J74,REF_MATERIALS!$A:$B,2,FALSE),"")</f>
        <v/>
      </c>
      <c r="K74" s="5">
        <f>SAISIE!$K74</f>
        <v>0</v>
      </c>
      <c r="L74" s="5" t="str">
        <f>IFERROR(VLOOKUP(SAISIE!$L74,REF_COUNTRIES!$A:$B,2,FALSE),"")</f>
        <v/>
      </c>
      <c r="M74" s="5" t="str">
        <f>IFERROR(VLOOKUP(SAISIE!$M74,REF_MATERIALS!$A:$B,2,FALSE),"")</f>
        <v/>
      </c>
      <c r="N74" s="5">
        <f>SAISIE!$N74</f>
        <v>0</v>
      </c>
      <c r="O74" s="5" t="str">
        <f>IFERROR(VLOOKUP(SAISIE!$O74,REF_COUNTRIES!$A:$B,2,FALSE),"")</f>
        <v/>
      </c>
      <c r="P74" s="5" t="str">
        <f>IFERROR(VLOOKUP(SAISIE!$P74,REF_MATERIALS!$A:$B,2,FALSE),"")</f>
        <v/>
      </c>
      <c r="Q74" s="5">
        <f>SAISIE!$Q74</f>
        <v>0</v>
      </c>
      <c r="R74" s="5" t="str">
        <f>IFERROR(VLOOKUP(SAISIE!$R74,REF_COUNTRIES!$A:$B,2,FALSE),"")</f>
        <v/>
      </c>
      <c r="S74" s="5" t="str">
        <f>IFERROR(VLOOKUP(SAISIE!$S74,REF_COUNTRIES!$A:$B,2,FALSE),"")</f>
        <v>REE</v>
      </c>
      <c r="T74" s="5" t="str">
        <f>IFERROR(VLOOKUP(SAISIE!$T74,REF_COUNTRIES!$A:$B,2,FALSE),"")</f>
        <v>RAS</v>
      </c>
      <c r="U74" s="5" t="str">
        <f>IFERROR(VLOOKUP(SAISIE!$U74,REF_COUNTRIES!$A:$B,2,FALSE),"")</f>
        <v>REE</v>
      </c>
      <c r="V74" s="5" t="str">
        <f>IFERROR(VLOOKUP(SAISIE!$V74,REF_COUNTRIES!$A:$B,2,FALSE),"")</f>
        <v>RAS</v>
      </c>
    </row>
    <row r="75" spans="1:22" x14ac:dyDescent="0.25">
      <c r="A75" s="5" t="str">
        <f>SAISIE!$A75</f>
        <v>Produit Test 074 - Pull</v>
      </c>
      <c r="B75" s="5" t="str">
        <f>IFERROR(VLOOKUP(SAISIE!$B75,REF_PRODUCTS!$A:$B,2,FALSE),"")</f>
        <v>pull</v>
      </c>
      <c r="C75" s="5">
        <f>SAISIE!$C75</f>
        <v>0.69</v>
      </c>
      <c r="D75" s="5" t="str">
        <f>IFERROR(VLOOKUP(SAISIE!$D75,REF_MATERIALS!$A:$B,2,FALSE),"")</f>
        <v>8f44c680-1263-4588-b79b-a9e4dc3d8de4</v>
      </c>
      <c r="E75" s="5">
        <f>SAISIE!$E75</f>
        <v>0.89</v>
      </c>
      <c r="F75" s="5" t="str">
        <f>IFERROR(VLOOKUP(SAISIE!$F75,REF_COUNTRIES!$A:$B,2,FALSE),"")</f>
        <v>ROC</v>
      </c>
      <c r="G75" s="5" t="str">
        <f>IFERROR(VLOOKUP(SAISIE!$G75,REF_MATERIALS!$A:$B,2,FALSE),"")</f>
        <v>49a0bec0-f9f3-42db-a514-a9dcf06a8969</v>
      </c>
      <c r="H75" s="5">
        <f>SAISIE!$H75</f>
        <v>0.11</v>
      </c>
      <c r="I75" s="5" t="str">
        <f>IFERROR(VLOOKUP(SAISIE!$I75,REF_COUNTRIES!$A:$B,2,FALSE),"")</f>
        <v>MA</v>
      </c>
      <c r="J75" s="5" t="str">
        <f>IFERROR(VLOOKUP(SAISIE!$J75,REF_MATERIALS!$A:$B,2,FALSE),"")</f>
        <v/>
      </c>
      <c r="K75" s="5">
        <f>SAISIE!$K75</f>
        <v>0</v>
      </c>
      <c r="L75" s="5" t="str">
        <f>IFERROR(VLOOKUP(SAISIE!$L75,REF_COUNTRIES!$A:$B,2,FALSE),"")</f>
        <v/>
      </c>
      <c r="M75" s="5" t="str">
        <f>IFERROR(VLOOKUP(SAISIE!$M75,REF_MATERIALS!$A:$B,2,FALSE),"")</f>
        <v/>
      </c>
      <c r="N75" s="5">
        <f>SAISIE!$N75</f>
        <v>0</v>
      </c>
      <c r="O75" s="5" t="str">
        <f>IFERROR(VLOOKUP(SAISIE!$O75,REF_COUNTRIES!$A:$B,2,FALSE),"")</f>
        <v/>
      </c>
      <c r="P75" s="5" t="str">
        <f>IFERROR(VLOOKUP(SAISIE!$P75,REF_MATERIALS!$A:$B,2,FALSE),"")</f>
        <v/>
      </c>
      <c r="Q75" s="5">
        <f>SAISIE!$Q75</f>
        <v>0</v>
      </c>
      <c r="R75" s="5" t="str">
        <f>IFERROR(VLOOKUP(SAISIE!$R75,REF_COUNTRIES!$A:$B,2,FALSE),"")</f>
        <v/>
      </c>
      <c r="S75" s="5" t="str">
        <f>IFERROR(VLOOKUP(SAISIE!$S75,REF_COUNTRIES!$A:$B,2,FALSE),"")</f>
        <v>KH</v>
      </c>
      <c r="T75" s="5" t="str">
        <f>IFERROR(VLOOKUP(SAISIE!$T75,REF_COUNTRIES!$A:$B,2,FALSE),"")</f>
        <v>PK</v>
      </c>
      <c r="U75" s="5" t="str">
        <f>IFERROR(VLOOKUP(SAISIE!$U75,REF_COUNTRIES!$A:$B,2,FALSE),"")</f>
        <v>MM</v>
      </c>
      <c r="V75" s="5" t="str">
        <f>IFERROR(VLOOKUP(SAISIE!$V75,REF_COUNTRIES!$A:$B,2,FALSE),"")</f>
        <v>MA</v>
      </c>
    </row>
    <row r="76" spans="1:22" x14ac:dyDescent="0.25">
      <c r="A76" s="5" t="str">
        <f>SAISIE!$A76</f>
        <v>Produit Test 075 - Boxer / Slip (tricoté)</v>
      </c>
      <c r="B76" s="5" t="str">
        <f>IFERROR(VLOOKUP(SAISIE!$B76,REF_PRODUCTS!$A:$B,2,FALSE),"")</f>
        <v>slip</v>
      </c>
      <c r="C76" s="5">
        <f>SAISIE!$C76</f>
        <v>0.19</v>
      </c>
      <c r="D76" s="5" t="str">
        <f>IFERROR(VLOOKUP(SAISIE!$D76,REF_MATERIALS!$A:$B,2,FALSE),"")</f>
        <v>c087d394-5901-4b03-ba7a-7d4b0db0490c</v>
      </c>
      <c r="E76" s="5">
        <f>SAISIE!$E76</f>
        <v>0.67</v>
      </c>
      <c r="F76" s="5" t="str">
        <f>IFERROR(VLOOKUP(SAISIE!$F76,REF_COUNTRIES!$A:$B,2,FALSE),"")</f>
        <v>ROC</v>
      </c>
      <c r="G76" s="5" t="str">
        <f>IFERROR(VLOOKUP(SAISIE!$G76,REF_MATERIALS!$A:$B,2,FALSE),"")</f>
        <v>1fc3e17d-5661-429d-a150-7986eae16d9d</v>
      </c>
      <c r="H76" s="5">
        <f>SAISIE!$H76</f>
        <v>0.33</v>
      </c>
      <c r="I76" s="5" t="str">
        <f>IFERROR(VLOOKUP(SAISIE!$I76,REF_COUNTRIES!$A:$B,2,FALSE),"")</f>
        <v>RNA</v>
      </c>
      <c r="J76" s="5" t="str">
        <f>IFERROR(VLOOKUP(SAISIE!$J76,REF_MATERIALS!$A:$B,2,FALSE),"")</f>
        <v/>
      </c>
      <c r="K76" s="5">
        <f>SAISIE!$K76</f>
        <v>0</v>
      </c>
      <c r="L76" s="5" t="str">
        <f>IFERROR(VLOOKUP(SAISIE!$L76,REF_COUNTRIES!$A:$B,2,FALSE),"")</f>
        <v/>
      </c>
      <c r="M76" s="5" t="str">
        <f>IFERROR(VLOOKUP(SAISIE!$M76,REF_MATERIALS!$A:$B,2,FALSE),"")</f>
        <v/>
      </c>
      <c r="N76" s="5">
        <f>SAISIE!$N76</f>
        <v>0</v>
      </c>
      <c r="O76" s="5" t="str">
        <f>IFERROR(VLOOKUP(SAISIE!$O76,REF_COUNTRIES!$A:$B,2,FALSE),"")</f>
        <v/>
      </c>
      <c r="P76" s="5" t="str">
        <f>IFERROR(VLOOKUP(SAISIE!$P76,REF_MATERIALS!$A:$B,2,FALSE),"")</f>
        <v/>
      </c>
      <c r="Q76" s="5">
        <f>SAISIE!$Q76</f>
        <v>0</v>
      </c>
      <c r="R76" s="5" t="str">
        <f>IFERROR(VLOOKUP(SAISIE!$R76,REF_COUNTRIES!$A:$B,2,FALSE),"")</f>
        <v/>
      </c>
      <c r="S76" s="5" t="str">
        <f>IFERROR(VLOOKUP(SAISIE!$S76,REF_COUNTRIES!$A:$B,2,FALSE),"")</f>
        <v>CN</v>
      </c>
      <c r="T76" s="5" t="str">
        <f>IFERROR(VLOOKUP(SAISIE!$T76,REF_COUNTRIES!$A:$B,2,FALSE),"")</f>
        <v>CN</v>
      </c>
      <c r="U76" s="5" t="str">
        <f>IFERROR(VLOOKUP(SAISIE!$U76,REF_COUNTRIES!$A:$B,2,FALSE),"")</f>
        <v>FR</v>
      </c>
      <c r="V76" s="5" t="str">
        <f>IFERROR(VLOOKUP(SAISIE!$V76,REF_COUNTRIES!$A:$B,2,FALSE),"")</f>
        <v>REE</v>
      </c>
    </row>
    <row r="77" spans="1:22" x14ac:dyDescent="0.25">
      <c r="A77" s="5" t="str">
        <f>SAISIE!$A77</f>
        <v>Produit Test 076 - Manteau / Veste</v>
      </c>
      <c r="B77" s="5" t="str">
        <f>IFERROR(VLOOKUP(SAISIE!$B77,REF_PRODUCTS!$A:$B,2,FALSE),"")</f>
        <v>manteau</v>
      </c>
      <c r="C77" s="5">
        <f>SAISIE!$C77</f>
        <v>0.31</v>
      </c>
      <c r="D77" s="5" t="str">
        <f>IFERROR(VLOOKUP(SAISIE!$D77,REF_MATERIALS!$A:$B,2,FALSE),"")</f>
        <v>a09b2677-2900-4417-a202-e5f9a1abcce1</v>
      </c>
      <c r="E77" s="5">
        <f>SAISIE!$E77</f>
        <v>1</v>
      </c>
      <c r="F77" s="5" t="str">
        <f>IFERROR(VLOOKUP(SAISIE!$F77,REF_COUNTRIES!$A:$B,2,FALSE),"")</f>
        <v>BD</v>
      </c>
      <c r="G77" s="5" t="str">
        <f>IFERROR(VLOOKUP(SAISIE!$G77,REF_MATERIALS!$A:$B,2,FALSE),"")</f>
        <v/>
      </c>
      <c r="H77" s="5">
        <f>SAISIE!$H77</f>
        <v>0</v>
      </c>
      <c r="I77" s="5" t="str">
        <f>IFERROR(VLOOKUP(SAISIE!$I77,REF_COUNTRIES!$A:$B,2,FALSE),"")</f>
        <v/>
      </c>
      <c r="J77" s="5" t="str">
        <f>IFERROR(VLOOKUP(SAISIE!$J77,REF_MATERIALS!$A:$B,2,FALSE),"")</f>
        <v/>
      </c>
      <c r="K77" s="5">
        <f>SAISIE!$K77</f>
        <v>0</v>
      </c>
      <c r="L77" s="5" t="str">
        <f>IFERROR(VLOOKUP(SAISIE!$L77,REF_COUNTRIES!$A:$B,2,FALSE),"")</f>
        <v/>
      </c>
      <c r="M77" s="5" t="str">
        <f>IFERROR(VLOOKUP(SAISIE!$M77,REF_MATERIALS!$A:$B,2,FALSE),"")</f>
        <v/>
      </c>
      <c r="N77" s="5">
        <f>SAISIE!$N77</f>
        <v>0</v>
      </c>
      <c r="O77" s="5" t="str">
        <f>IFERROR(VLOOKUP(SAISIE!$O77,REF_COUNTRIES!$A:$B,2,FALSE),"")</f>
        <v/>
      </c>
      <c r="P77" s="5" t="str">
        <f>IFERROR(VLOOKUP(SAISIE!$P77,REF_MATERIALS!$A:$B,2,FALSE),"")</f>
        <v/>
      </c>
      <c r="Q77" s="5">
        <f>SAISIE!$Q77</f>
        <v>0</v>
      </c>
      <c r="R77" s="5" t="str">
        <f>IFERROR(VLOOKUP(SAISIE!$R77,REF_COUNTRIES!$A:$B,2,FALSE),"")</f>
        <v/>
      </c>
      <c r="S77" s="5" t="str">
        <f>IFERROR(VLOOKUP(SAISIE!$S77,REF_COUNTRIES!$A:$B,2,FALSE),"")</f>
        <v>RNA</v>
      </c>
      <c r="T77" s="5" t="str">
        <f>IFERROR(VLOOKUP(SAISIE!$T77,REF_COUNTRIES!$A:$B,2,FALSE),"")</f>
        <v>RME</v>
      </c>
      <c r="U77" s="5" t="str">
        <f>IFERROR(VLOOKUP(SAISIE!$U77,REF_COUNTRIES!$A:$B,2,FALSE),"")</f>
        <v>RNA</v>
      </c>
      <c r="V77" s="5" t="str">
        <f>IFERROR(VLOOKUP(SAISIE!$V77,REF_COUNTRIES!$A:$B,2,FALSE),"")</f>
        <v>REE</v>
      </c>
    </row>
    <row r="78" spans="1:22" x14ac:dyDescent="0.25">
      <c r="A78" s="5" t="str">
        <f>SAISIE!$A78</f>
        <v>Produit Test 077 - Jean</v>
      </c>
      <c r="B78" s="5" t="str">
        <f>IFERROR(VLOOKUP(SAISIE!$B78,REF_PRODUCTS!$A:$B,2,FALSE),"")</f>
        <v>jean</v>
      </c>
      <c r="C78" s="5">
        <f>SAISIE!$C78</f>
        <v>0.57999999999999996</v>
      </c>
      <c r="D78" s="5" t="str">
        <f>IFERROR(VLOOKUP(SAISIE!$D78,REF_MATERIALS!$A:$B,2,FALSE),"")</f>
        <v>9973088b-c929-4cc5-894a-1e4d28c161d4</v>
      </c>
      <c r="E78" s="5">
        <f>SAISIE!$E78</f>
        <v>0.83</v>
      </c>
      <c r="F78" s="5" t="str">
        <f>IFERROR(VLOOKUP(SAISIE!$F78,REF_COUNTRIES!$A:$B,2,FALSE),"")</f>
        <v>VN</v>
      </c>
      <c r="G78" s="5" t="str">
        <f>IFERROR(VLOOKUP(SAISIE!$G78,REF_MATERIALS!$A:$B,2,FALSE),"")</f>
        <v>62a4d6fb-3276-4ba5-93a3-889ecd3bff84</v>
      </c>
      <c r="H78" s="5">
        <f>SAISIE!$H78</f>
        <v>0.17</v>
      </c>
      <c r="I78" s="5" t="str">
        <f>IFERROR(VLOOKUP(SAISIE!$I78,REF_COUNTRIES!$A:$B,2,FALSE),"")</f>
        <v>CN</v>
      </c>
      <c r="J78" s="5" t="str">
        <f>IFERROR(VLOOKUP(SAISIE!$J78,REF_MATERIALS!$A:$B,2,FALSE),"")</f>
        <v/>
      </c>
      <c r="K78" s="5">
        <f>SAISIE!$K78</f>
        <v>0</v>
      </c>
      <c r="L78" s="5" t="str">
        <f>IFERROR(VLOOKUP(SAISIE!$L78,REF_COUNTRIES!$A:$B,2,FALSE),"")</f>
        <v/>
      </c>
      <c r="M78" s="5" t="str">
        <f>IFERROR(VLOOKUP(SAISIE!$M78,REF_MATERIALS!$A:$B,2,FALSE),"")</f>
        <v/>
      </c>
      <c r="N78" s="5">
        <f>SAISIE!$N78</f>
        <v>0</v>
      </c>
      <c r="O78" s="5" t="str">
        <f>IFERROR(VLOOKUP(SAISIE!$O78,REF_COUNTRIES!$A:$B,2,FALSE),"")</f>
        <v/>
      </c>
      <c r="P78" s="5" t="str">
        <f>IFERROR(VLOOKUP(SAISIE!$P78,REF_MATERIALS!$A:$B,2,FALSE),"")</f>
        <v/>
      </c>
      <c r="Q78" s="5">
        <f>SAISIE!$Q78</f>
        <v>0</v>
      </c>
      <c r="R78" s="5" t="str">
        <f>IFERROR(VLOOKUP(SAISIE!$R78,REF_COUNTRIES!$A:$B,2,FALSE),"")</f>
        <v/>
      </c>
      <c r="S78" s="5" t="str">
        <f>IFERROR(VLOOKUP(SAISIE!$S78,REF_COUNTRIES!$A:$B,2,FALSE),"")</f>
        <v>REE</v>
      </c>
      <c r="T78" s="5" t="str">
        <f>IFERROR(VLOOKUP(SAISIE!$T78,REF_COUNTRIES!$A:$B,2,FALSE),"")</f>
        <v>FR</v>
      </c>
      <c r="U78" s="5" t="str">
        <f>IFERROR(VLOOKUP(SAISIE!$U78,REF_COUNTRIES!$A:$B,2,FALSE),"")</f>
        <v>MA</v>
      </c>
      <c r="V78" s="5" t="str">
        <f>IFERROR(VLOOKUP(SAISIE!$V78,REF_COUNTRIES!$A:$B,2,FALSE),"")</f>
        <v>CN</v>
      </c>
    </row>
    <row r="79" spans="1:22" x14ac:dyDescent="0.25">
      <c r="A79" s="5" t="str">
        <f>SAISIE!$A79</f>
        <v>Produit Test 078 - Manteau / Veste</v>
      </c>
      <c r="B79" s="5" t="str">
        <f>IFERROR(VLOOKUP(SAISIE!$B79,REF_PRODUCTS!$A:$B,2,FALSE),"")</f>
        <v>manteau</v>
      </c>
      <c r="C79" s="5">
        <f>SAISIE!$C79</f>
        <v>0.23</v>
      </c>
      <c r="D79" s="5" t="str">
        <f>IFERROR(VLOOKUP(SAISIE!$D79,REF_MATERIALS!$A:$B,2,FALSE),"")</f>
        <v>0c1a4654-b030-4fe1-86b7-d96ce0b85bb8</v>
      </c>
      <c r="E79" s="5">
        <f>SAISIE!$E79</f>
        <v>1</v>
      </c>
      <c r="F79" s="5" t="str">
        <f>IFERROR(VLOOKUP(SAISIE!$F79,REF_COUNTRIES!$A:$B,2,FALSE),"")</f>
        <v>REE</v>
      </c>
      <c r="G79" s="5" t="str">
        <f>IFERROR(VLOOKUP(SAISIE!$G79,REF_MATERIALS!$A:$B,2,FALSE),"")</f>
        <v/>
      </c>
      <c r="H79" s="5">
        <f>SAISIE!$H79</f>
        <v>0</v>
      </c>
      <c r="I79" s="5" t="str">
        <f>IFERROR(VLOOKUP(SAISIE!$I79,REF_COUNTRIES!$A:$B,2,FALSE),"")</f>
        <v/>
      </c>
      <c r="J79" s="5" t="str">
        <f>IFERROR(VLOOKUP(SAISIE!$J79,REF_MATERIALS!$A:$B,2,FALSE),"")</f>
        <v/>
      </c>
      <c r="K79" s="5">
        <f>SAISIE!$K79</f>
        <v>0</v>
      </c>
      <c r="L79" s="5" t="str">
        <f>IFERROR(VLOOKUP(SAISIE!$L79,REF_COUNTRIES!$A:$B,2,FALSE),"")</f>
        <v/>
      </c>
      <c r="M79" s="5" t="str">
        <f>IFERROR(VLOOKUP(SAISIE!$M79,REF_MATERIALS!$A:$B,2,FALSE),"")</f>
        <v/>
      </c>
      <c r="N79" s="5">
        <f>SAISIE!$N79</f>
        <v>0</v>
      </c>
      <c r="O79" s="5" t="str">
        <f>IFERROR(VLOOKUP(SAISIE!$O79,REF_COUNTRIES!$A:$B,2,FALSE),"")</f>
        <v/>
      </c>
      <c r="P79" s="5" t="str">
        <f>IFERROR(VLOOKUP(SAISIE!$P79,REF_MATERIALS!$A:$B,2,FALSE),"")</f>
        <v/>
      </c>
      <c r="Q79" s="5">
        <f>SAISIE!$Q79</f>
        <v>0</v>
      </c>
      <c r="R79" s="5" t="str">
        <f>IFERROR(VLOOKUP(SAISIE!$R79,REF_COUNTRIES!$A:$B,2,FALSE),"")</f>
        <v/>
      </c>
      <c r="S79" s="5" t="str">
        <f>IFERROR(VLOOKUP(SAISIE!$S79,REF_COUNTRIES!$A:$B,2,FALSE),"")</f>
        <v>FR</v>
      </c>
      <c r="T79" s="5" t="str">
        <f>IFERROR(VLOOKUP(SAISIE!$T79,REF_COUNTRIES!$A:$B,2,FALSE),"")</f>
        <v>RAS</v>
      </c>
      <c r="U79" s="5" t="str">
        <f>IFERROR(VLOOKUP(SAISIE!$U79,REF_COUNTRIES!$A:$B,2,FALSE),"")</f>
        <v>CN</v>
      </c>
      <c r="V79" s="5" t="str">
        <f>IFERROR(VLOOKUP(SAISIE!$V79,REF_COUNTRIES!$A:$B,2,FALSE),"")</f>
        <v>BD</v>
      </c>
    </row>
    <row r="80" spans="1:22" x14ac:dyDescent="0.25">
      <c r="A80" s="5" t="str">
        <f>SAISIE!$A80</f>
        <v>Produit Test 079 - Manteau / Veste</v>
      </c>
      <c r="B80" s="5" t="str">
        <f>IFERROR(VLOOKUP(SAISIE!$B80,REF_PRODUCTS!$A:$B,2,FALSE),"")</f>
        <v>manteau</v>
      </c>
      <c r="C80" s="5">
        <f>SAISIE!$C80</f>
        <v>0.17</v>
      </c>
      <c r="D80" s="5" t="str">
        <f>IFERROR(VLOOKUP(SAISIE!$D80,REF_MATERIALS!$A:$B,2,FALSE),"")</f>
        <v>73ef624d-250e-4a9a-af5d-43505b21b527</v>
      </c>
      <c r="E80" s="5">
        <f>SAISIE!$E80</f>
        <v>0.8</v>
      </c>
      <c r="F80" s="5" t="str">
        <f>IFERROR(VLOOKUP(SAISIE!$F80,REF_COUNTRIES!$A:$B,2,FALSE),"")</f>
        <v>BD</v>
      </c>
      <c r="G80" s="5" t="str">
        <f>IFERROR(VLOOKUP(SAISIE!$G80,REF_MATERIALS!$A:$B,2,FALSE),"")</f>
        <v>457e9b0d-9eda-4dca-b199-deeb0a154fa9</v>
      </c>
      <c r="H80" s="5">
        <f>SAISIE!$H80</f>
        <v>0.2</v>
      </c>
      <c r="I80" s="5" t="str">
        <f>IFERROR(VLOOKUP(SAISIE!$I80,REF_COUNTRIES!$A:$B,2,FALSE),"")</f>
        <v>REO</v>
      </c>
      <c r="J80" s="5" t="str">
        <f>IFERROR(VLOOKUP(SAISIE!$J80,REF_MATERIALS!$A:$B,2,FALSE),"")</f>
        <v/>
      </c>
      <c r="K80" s="5">
        <f>SAISIE!$K80</f>
        <v>0</v>
      </c>
      <c r="L80" s="5" t="str">
        <f>IFERROR(VLOOKUP(SAISIE!$L80,REF_COUNTRIES!$A:$B,2,FALSE),"")</f>
        <v/>
      </c>
      <c r="M80" s="5" t="str">
        <f>IFERROR(VLOOKUP(SAISIE!$M80,REF_MATERIALS!$A:$B,2,FALSE),"")</f>
        <v/>
      </c>
      <c r="N80" s="5">
        <f>SAISIE!$N80</f>
        <v>0</v>
      </c>
      <c r="O80" s="5" t="str">
        <f>IFERROR(VLOOKUP(SAISIE!$O80,REF_COUNTRIES!$A:$B,2,FALSE),"")</f>
        <v/>
      </c>
      <c r="P80" s="5" t="str">
        <f>IFERROR(VLOOKUP(SAISIE!$P80,REF_MATERIALS!$A:$B,2,FALSE),"")</f>
        <v/>
      </c>
      <c r="Q80" s="5">
        <f>SAISIE!$Q80</f>
        <v>0</v>
      </c>
      <c r="R80" s="5" t="str">
        <f>IFERROR(VLOOKUP(SAISIE!$R80,REF_COUNTRIES!$A:$B,2,FALSE),"")</f>
        <v/>
      </c>
      <c r="S80" s="5" t="str">
        <f>IFERROR(VLOOKUP(SAISIE!$S80,REF_COUNTRIES!$A:$B,2,FALSE),"")</f>
        <v>BD</v>
      </c>
      <c r="T80" s="5" t="str">
        <f>IFERROR(VLOOKUP(SAISIE!$T80,REF_COUNTRIES!$A:$B,2,FALSE),"")</f>
        <v>VN</v>
      </c>
      <c r="U80" s="5" t="str">
        <f>IFERROR(VLOOKUP(SAISIE!$U80,REF_COUNTRIES!$A:$B,2,FALSE),"")</f>
        <v>MA</v>
      </c>
      <c r="V80" s="5" t="str">
        <f>IFERROR(VLOOKUP(SAISIE!$V80,REF_COUNTRIES!$A:$B,2,FALSE),"")</f>
        <v>BD</v>
      </c>
    </row>
    <row r="81" spans="1:22" x14ac:dyDescent="0.25">
      <c r="A81" s="5" t="str">
        <f>SAISIE!$A81</f>
        <v>Produit Test 080 - Pantalon / Short</v>
      </c>
      <c r="B81" s="5" t="str">
        <f>IFERROR(VLOOKUP(SAISIE!$B81,REF_PRODUCTS!$A:$B,2,FALSE),"")</f>
        <v>pantalon</v>
      </c>
      <c r="C81" s="5">
        <f>SAISIE!$C81</f>
        <v>0.47</v>
      </c>
      <c r="D81" s="5" t="str">
        <f>IFERROR(VLOOKUP(SAISIE!$D81,REF_MATERIALS!$A:$B,2,FALSE),"")</f>
        <v>49a0bec0-f9f3-42db-a514-a9dcf06a8969</v>
      </c>
      <c r="E81" s="5">
        <f>SAISIE!$E81</f>
        <v>1</v>
      </c>
      <c r="F81" s="5" t="str">
        <f>IFERROR(VLOOKUP(SAISIE!$F81,REF_COUNTRIES!$A:$B,2,FALSE),"")</f>
        <v>FR</v>
      </c>
      <c r="G81" s="5" t="str">
        <f>IFERROR(VLOOKUP(SAISIE!$G81,REF_MATERIALS!$A:$B,2,FALSE),"")</f>
        <v/>
      </c>
      <c r="H81" s="5">
        <f>SAISIE!$H81</f>
        <v>0</v>
      </c>
      <c r="I81" s="5" t="str">
        <f>IFERROR(VLOOKUP(SAISIE!$I81,REF_COUNTRIES!$A:$B,2,FALSE),"")</f>
        <v/>
      </c>
      <c r="J81" s="5" t="str">
        <f>IFERROR(VLOOKUP(SAISIE!$J81,REF_MATERIALS!$A:$B,2,FALSE),"")</f>
        <v/>
      </c>
      <c r="K81" s="5">
        <f>SAISIE!$K81</f>
        <v>0</v>
      </c>
      <c r="L81" s="5" t="str">
        <f>IFERROR(VLOOKUP(SAISIE!$L81,REF_COUNTRIES!$A:$B,2,FALSE),"")</f>
        <v/>
      </c>
      <c r="M81" s="5" t="str">
        <f>IFERROR(VLOOKUP(SAISIE!$M81,REF_MATERIALS!$A:$B,2,FALSE),"")</f>
        <v/>
      </c>
      <c r="N81" s="5">
        <f>SAISIE!$N81</f>
        <v>0</v>
      </c>
      <c r="O81" s="5" t="str">
        <f>IFERROR(VLOOKUP(SAISIE!$O81,REF_COUNTRIES!$A:$B,2,FALSE),"")</f>
        <v/>
      </c>
      <c r="P81" s="5" t="str">
        <f>IFERROR(VLOOKUP(SAISIE!$P81,REF_MATERIALS!$A:$B,2,FALSE),"")</f>
        <v/>
      </c>
      <c r="Q81" s="5">
        <f>SAISIE!$Q81</f>
        <v>0</v>
      </c>
      <c r="R81" s="5" t="str">
        <f>IFERROR(VLOOKUP(SAISIE!$R81,REF_COUNTRIES!$A:$B,2,FALSE),"")</f>
        <v/>
      </c>
      <c r="S81" s="5" t="str">
        <f>IFERROR(VLOOKUP(SAISIE!$S81,REF_COUNTRIES!$A:$B,2,FALSE),"")</f>
        <v>CN</v>
      </c>
      <c r="T81" s="5" t="str">
        <f>IFERROR(VLOOKUP(SAISIE!$T81,REF_COUNTRIES!$A:$B,2,FALSE),"")</f>
        <v>IN</v>
      </c>
      <c r="U81" s="5" t="str">
        <f>IFERROR(VLOOKUP(SAISIE!$U81,REF_COUNTRIES!$A:$B,2,FALSE),"")</f>
        <v>RNA</v>
      </c>
      <c r="V81" s="5" t="str">
        <f>IFERROR(VLOOKUP(SAISIE!$V81,REF_COUNTRIES!$A:$B,2,FALSE),"")</f>
        <v>BD</v>
      </c>
    </row>
    <row r="82" spans="1:22" x14ac:dyDescent="0.25">
      <c r="A82" s="5" t="str">
        <f>SAISIE!$A82</f>
        <v>Produit Test 081 - Maillot de bain</v>
      </c>
      <c r="B82" s="5" t="str">
        <f>IFERROR(VLOOKUP(SAISIE!$B82,REF_PRODUCTS!$A:$B,2,FALSE),"")</f>
        <v>maillot-de-bain</v>
      </c>
      <c r="C82" s="5">
        <f>SAISIE!$C82</f>
        <v>0.43</v>
      </c>
      <c r="D82" s="5" t="str">
        <f>IFERROR(VLOOKUP(SAISIE!$D82,REF_MATERIALS!$A:$B,2,FALSE),"")</f>
        <v>c087d394-5901-4b03-ba7a-7d4b0db0490c</v>
      </c>
      <c r="E82" s="5">
        <f>SAISIE!$E82</f>
        <v>1</v>
      </c>
      <c r="F82" s="5" t="str">
        <f>IFERROR(VLOOKUP(SAISIE!$F82,REF_COUNTRIES!$A:$B,2,FALSE),"")</f>
        <v>RAF</v>
      </c>
      <c r="G82" s="5" t="str">
        <f>IFERROR(VLOOKUP(SAISIE!$G82,REF_MATERIALS!$A:$B,2,FALSE),"")</f>
        <v/>
      </c>
      <c r="H82" s="5">
        <f>SAISIE!$H82</f>
        <v>0</v>
      </c>
      <c r="I82" s="5" t="str">
        <f>IFERROR(VLOOKUP(SAISIE!$I82,REF_COUNTRIES!$A:$B,2,FALSE),"")</f>
        <v/>
      </c>
      <c r="J82" s="5" t="str">
        <f>IFERROR(VLOOKUP(SAISIE!$J82,REF_MATERIALS!$A:$B,2,FALSE),"")</f>
        <v/>
      </c>
      <c r="K82" s="5">
        <f>SAISIE!$K82</f>
        <v>0</v>
      </c>
      <c r="L82" s="5" t="str">
        <f>IFERROR(VLOOKUP(SAISIE!$L82,REF_COUNTRIES!$A:$B,2,FALSE),"")</f>
        <v/>
      </c>
      <c r="M82" s="5" t="str">
        <f>IFERROR(VLOOKUP(SAISIE!$M82,REF_MATERIALS!$A:$B,2,FALSE),"")</f>
        <v/>
      </c>
      <c r="N82" s="5">
        <f>SAISIE!$N82</f>
        <v>0</v>
      </c>
      <c r="O82" s="5" t="str">
        <f>IFERROR(VLOOKUP(SAISIE!$O82,REF_COUNTRIES!$A:$B,2,FALSE),"")</f>
        <v/>
      </c>
      <c r="P82" s="5" t="str">
        <f>IFERROR(VLOOKUP(SAISIE!$P82,REF_MATERIALS!$A:$B,2,FALSE),"")</f>
        <v/>
      </c>
      <c r="Q82" s="5">
        <f>SAISIE!$Q82</f>
        <v>0</v>
      </c>
      <c r="R82" s="5" t="str">
        <f>IFERROR(VLOOKUP(SAISIE!$R82,REF_COUNTRIES!$A:$B,2,FALSE),"")</f>
        <v/>
      </c>
      <c r="S82" s="5" t="str">
        <f>IFERROR(VLOOKUP(SAISIE!$S82,REF_COUNTRIES!$A:$B,2,FALSE),"")</f>
        <v>VN</v>
      </c>
      <c r="T82" s="5" t="str">
        <f>IFERROR(VLOOKUP(SAISIE!$T82,REF_COUNTRIES!$A:$B,2,FALSE),"")</f>
        <v>RLA</v>
      </c>
      <c r="U82" s="5" t="str">
        <f>IFERROR(VLOOKUP(SAISIE!$U82,REF_COUNTRIES!$A:$B,2,FALSE),"")</f>
        <v>CN</v>
      </c>
      <c r="V82" s="5" t="str">
        <f>IFERROR(VLOOKUP(SAISIE!$V82,REF_COUNTRIES!$A:$B,2,FALSE),"")</f>
        <v>KH</v>
      </c>
    </row>
    <row r="83" spans="1:22" x14ac:dyDescent="0.25">
      <c r="A83" s="5" t="str">
        <f>SAISIE!$A83</f>
        <v>Produit Test 082 - Pantalon / Short</v>
      </c>
      <c r="B83" s="5" t="str">
        <f>IFERROR(VLOOKUP(SAISIE!$B83,REF_PRODUCTS!$A:$B,2,FALSE),"")</f>
        <v>pantalon</v>
      </c>
      <c r="C83" s="5">
        <f>SAISIE!$C83</f>
        <v>0.44</v>
      </c>
      <c r="D83" s="5" t="str">
        <f>IFERROR(VLOOKUP(SAISIE!$D83,REF_MATERIALS!$A:$B,2,FALSE),"")</f>
        <v>73ef624d-250e-4a9a-af5d-43505b21b527</v>
      </c>
      <c r="E83" s="5">
        <f>SAISIE!$E83</f>
        <v>0.73</v>
      </c>
      <c r="F83" s="5" t="str">
        <f>IFERROR(VLOOKUP(SAISIE!$F83,REF_COUNTRIES!$A:$B,2,FALSE),"")</f>
        <v>CN</v>
      </c>
      <c r="G83" s="5" t="str">
        <f>IFERROR(VLOOKUP(SAISIE!$G83,REF_MATERIALS!$A:$B,2,FALSE),"")</f>
        <v>49a0bec0-f9f3-42db-a514-a9dcf06a8969</v>
      </c>
      <c r="H83" s="5">
        <f>SAISIE!$H83</f>
        <v>0.27</v>
      </c>
      <c r="I83" s="5" t="str">
        <f>IFERROR(VLOOKUP(SAISIE!$I83,REF_COUNTRIES!$A:$B,2,FALSE),"")</f>
        <v>BD</v>
      </c>
      <c r="J83" s="5" t="str">
        <f>IFERROR(VLOOKUP(SAISIE!$J83,REF_MATERIALS!$A:$B,2,FALSE),"")</f>
        <v/>
      </c>
      <c r="K83" s="5">
        <f>SAISIE!$K83</f>
        <v>0</v>
      </c>
      <c r="L83" s="5" t="str">
        <f>IFERROR(VLOOKUP(SAISIE!$L83,REF_COUNTRIES!$A:$B,2,FALSE),"")</f>
        <v/>
      </c>
      <c r="M83" s="5" t="str">
        <f>IFERROR(VLOOKUP(SAISIE!$M83,REF_MATERIALS!$A:$B,2,FALSE),"")</f>
        <v/>
      </c>
      <c r="N83" s="5">
        <f>SAISIE!$N83</f>
        <v>0</v>
      </c>
      <c r="O83" s="5" t="str">
        <f>IFERROR(VLOOKUP(SAISIE!$O83,REF_COUNTRIES!$A:$B,2,FALSE),"")</f>
        <v/>
      </c>
      <c r="P83" s="5" t="str">
        <f>IFERROR(VLOOKUP(SAISIE!$P83,REF_MATERIALS!$A:$B,2,FALSE),"")</f>
        <v/>
      </c>
      <c r="Q83" s="5">
        <f>SAISIE!$Q83</f>
        <v>0</v>
      </c>
      <c r="R83" s="5" t="str">
        <f>IFERROR(VLOOKUP(SAISIE!$R83,REF_COUNTRIES!$A:$B,2,FALSE),"")</f>
        <v/>
      </c>
      <c r="S83" s="5" t="str">
        <f>IFERROR(VLOOKUP(SAISIE!$S83,REF_COUNTRIES!$A:$B,2,FALSE),"")</f>
        <v>IN</v>
      </c>
      <c r="T83" s="5" t="str">
        <f>IFERROR(VLOOKUP(SAISIE!$T83,REF_COUNTRIES!$A:$B,2,FALSE),"")</f>
        <v>IN</v>
      </c>
      <c r="U83" s="5" t="str">
        <f>IFERROR(VLOOKUP(SAISIE!$U83,REF_COUNTRIES!$A:$B,2,FALSE),"")</f>
        <v>IN</v>
      </c>
      <c r="V83" s="5" t="str">
        <f>IFERROR(VLOOKUP(SAISIE!$V83,REF_COUNTRIES!$A:$B,2,FALSE),"")</f>
        <v>---</v>
      </c>
    </row>
    <row r="84" spans="1:22" x14ac:dyDescent="0.25">
      <c r="A84" s="5" t="str">
        <f>SAISIE!$A84</f>
        <v>Produit Test 083 - Maillot de bain</v>
      </c>
      <c r="B84" s="5" t="str">
        <f>IFERROR(VLOOKUP(SAISIE!$B84,REF_PRODUCTS!$A:$B,2,FALSE),"")</f>
        <v>maillot-de-bain</v>
      </c>
      <c r="C84" s="5">
        <f>SAISIE!$C84</f>
        <v>0.26</v>
      </c>
      <c r="D84" s="5" t="str">
        <f>IFERROR(VLOOKUP(SAISIE!$D84,REF_MATERIALS!$A:$B,2,FALSE),"")</f>
        <v>a1c1c2ec-33b1-49d6-bf8e-139e2eb7f097</v>
      </c>
      <c r="E84" s="5">
        <f>SAISIE!$E84</f>
        <v>0.8</v>
      </c>
      <c r="F84" s="5" t="str">
        <f>IFERROR(VLOOKUP(SAISIE!$F84,REF_COUNTRIES!$A:$B,2,FALSE),"")</f>
        <v>---</v>
      </c>
      <c r="G84" s="5" t="str">
        <f>IFERROR(VLOOKUP(SAISIE!$G84,REF_MATERIALS!$A:$B,2,FALSE),"")</f>
        <v>c087d394-5901-4b03-ba7a-7d4b0db0490c</v>
      </c>
      <c r="H84" s="5">
        <f>SAISIE!$H84</f>
        <v>0.2</v>
      </c>
      <c r="I84" s="5" t="str">
        <f>IFERROR(VLOOKUP(SAISIE!$I84,REF_COUNTRIES!$A:$B,2,FALSE),"")</f>
        <v>RAS</v>
      </c>
      <c r="J84" s="5" t="str">
        <f>IFERROR(VLOOKUP(SAISIE!$J84,REF_MATERIALS!$A:$B,2,FALSE),"")</f>
        <v/>
      </c>
      <c r="K84" s="5">
        <f>SAISIE!$K84</f>
        <v>0</v>
      </c>
      <c r="L84" s="5" t="str">
        <f>IFERROR(VLOOKUP(SAISIE!$L84,REF_COUNTRIES!$A:$B,2,FALSE),"")</f>
        <v/>
      </c>
      <c r="M84" s="5" t="str">
        <f>IFERROR(VLOOKUP(SAISIE!$M84,REF_MATERIALS!$A:$B,2,FALSE),"")</f>
        <v/>
      </c>
      <c r="N84" s="5">
        <f>SAISIE!$N84</f>
        <v>0</v>
      </c>
      <c r="O84" s="5" t="str">
        <f>IFERROR(VLOOKUP(SAISIE!$O84,REF_COUNTRIES!$A:$B,2,FALSE),"")</f>
        <v/>
      </c>
      <c r="P84" s="5" t="str">
        <f>IFERROR(VLOOKUP(SAISIE!$P84,REF_MATERIALS!$A:$B,2,FALSE),"")</f>
        <v/>
      </c>
      <c r="Q84" s="5">
        <f>SAISIE!$Q84</f>
        <v>0</v>
      </c>
      <c r="R84" s="5" t="str">
        <f>IFERROR(VLOOKUP(SAISIE!$R84,REF_COUNTRIES!$A:$B,2,FALSE),"")</f>
        <v/>
      </c>
      <c r="S84" s="5" t="str">
        <f>IFERROR(VLOOKUP(SAISIE!$S84,REF_COUNTRIES!$A:$B,2,FALSE),"")</f>
        <v>RAF</v>
      </c>
      <c r="T84" s="5" t="str">
        <f>IFERROR(VLOOKUP(SAISIE!$T84,REF_COUNTRIES!$A:$B,2,FALSE),"")</f>
        <v>TR</v>
      </c>
      <c r="U84" s="5" t="str">
        <f>IFERROR(VLOOKUP(SAISIE!$U84,REF_COUNTRIES!$A:$B,2,FALSE),"")</f>
        <v>REE</v>
      </c>
      <c r="V84" s="5" t="str">
        <f>IFERROR(VLOOKUP(SAISIE!$V84,REF_COUNTRIES!$A:$B,2,FALSE),"")</f>
        <v>RAS</v>
      </c>
    </row>
    <row r="85" spans="1:22" x14ac:dyDescent="0.25">
      <c r="A85" s="5" t="str">
        <f>SAISIE!$A85</f>
        <v>Produit Test 084 - Boxer / Slip (tricoté)</v>
      </c>
      <c r="B85" s="5" t="str">
        <f>IFERROR(VLOOKUP(SAISIE!$B85,REF_PRODUCTS!$A:$B,2,FALSE),"")</f>
        <v>slip</v>
      </c>
      <c r="C85" s="5">
        <f>SAISIE!$C85</f>
        <v>0.35</v>
      </c>
      <c r="D85" s="5" t="str">
        <f>IFERROR(VLOOKUP(SAISIE!$D85,REF_MATERIALS!$A:$B,2,FALSE),"")</f>
        <v>a52e486c-b67e-40af-8337-e8143cbf9076</v>
      </c>
      <c r="E85" s="5">
        <f>SAISIE!$E85</f>
        <v>1</v>
      </c>
      <c r="F85" s="5" t="str">
        <f>IFERROR(VLOOKUP(SAISIE!$F85,REF_COUNTRIES!$A:$B,2,FALSE),"")</f>
        <v>BD</v>
      </c>
      <c r="G85" s="5" t="str">
        <f>IFERROR(VLOOKUP(SAISIE!$G85,REF_MATERIALS!$A:$B,2,FALSE),"")</f>
        <v/>
      </c>
      <c r="H85" s="5">
        <f>SAISIE!$H85</f>
        <v>0</v>
      </c>
      <c r="I85" s="5" t="str">
        <f>IFERROR(VLOOKUP(SAISIE!$I85,REF_COUNTRIES!$A:$B,2,FALSE),"")</f>
        <v/>
      </c>
      <c r="J85" s="5" t="str">
        <f>IFERROR(VLOOKUP(SAISIE!$J85,REF_MATERIALS!$A:$B,2,FALSE),"")</f>
        <v/>
      </c>
      <c r="K85" s="5">
        <f>SAISIE!$K85</f>
        <v>0</v>
      </c>
      <c r="L85" s="5" t="str">
        <f>IFERROR(VLOOKUP(SAISIE!$L85,REF_COUNTRIES!$A:$B,2,FALSE),"")</f>
        <v/>
      </c>
      <c r="M85" s="5" t="str">
        <f>IFERROR(VLOOKUP(SAISIE!$M85,REF_MATERIALS!$A:$B,2,FALSE),"")</f>
        <v/>
      </c>
      <c r="N85" s="5">
        <f>SAISIE!$N85</f>
        <v>0</v>
      </c>
      <c r="O85" s="5" t="str">
        <f>IFERROR(VLOOKUP(SAISIE!$O85,REF_COUNTRIES!$A:$B,2,FALSE),"")</f>
        <v/>
      </c>
      <c r="P85" s="5" t="str">
        <f>IFERROR(VLOOKUP(SAISIE!$P85,REF_MATERIALS!$A:$B,2,FALSE),"")</f>
        <v/>
      </c>
      <c r="Q85" s="5">
        <f>SAISIE!$Q85</f>
        <v>0</v>
      </c>
      <c r="R85" s="5" t="str">
        <f>IFERROR(VLOOKUP(SAISIE!$R85,REF_COUNTRIES!$A:$B,2,FALSE),"")</f>
        <v/>
      </c>
      <c r="S85" s="5" t="str">
        <f>IFERROR(VLOOKUP(SAISIE!$S85,REF_COUNTRIES!$A:$B,2,FALSE),"")</f>
        <v>TN</v>
      </c>
      <c r="T85" s="5" t="str">
        <f>IFERROR(VLOOKUP(SAISIE!$T85,REF_COUNTRIES!$A:$B,2,FALSE),"")</f>
        <v>---</v>
      </c>
      <c r="U85" s="5" t="str">
        <f>IFERROR(VLOOKUP(SAISIE!$U85,REF_COUNTRIES!$A:$B,2,FALSE),"")</f>
        <v>BD</v>
      </c>
      <c r="V85" s="5" t="str">
        <f>IFERROR(VLOOKUP(SAISIE!$V85,REF_COUNTRIES!$A:$B,2,FALSE),"")</f>
        <v>KH</v>
      </c>
    </row>
    <row r="86" spans="1:22" x14ac:dyDescent="0.25">
      <c r="A86" s="5" t="str">
        <f>SAISIE!$A86</f>
        <v>Produit Test 085 - Chaussettes</v>
      </c>
      <c r="B86" s="5" t="str">
        <f>IFERROR(VLOOKUP(SAISIE!$B86,REF_PRODUCTS!$A:$B,2,FALSE),"")</f>
        <v>chaussettes</v>
      </c>
      <c r="C86" s="5">
        <f>SAISIE!$C86</f>
        <v>0.09</v>
      </c>
      <c r="D86" s="5" t="str">
        <f>IFERROR(VLOOKUP(SAISIE!$D86,REF_MATERIALS!$A:$B,2,FALSE),"")</f>
        <v>72e29a61-52a9-4eb5-b3fc-5fb87edea041</v>
      </c>
      <c r="E86" s="5">
        <f>SAISIE!$E86</f>
        <v>1</v>
      </c>
      <c r="F86" s="5" t="str">
        <f>IFERROR(VLOOKUP(SAISIE!$F86,REF_COUNTRIES!$A:$B,2,FALSE),"")</f>
        <v>PK</v>
      </c>
      <c r="G86" s="5" t="str">
        <f>IFERROR(VLOOKUP(SAISIE!$G86,REF_MATERIALS!$A:$B,2,FALSE),"")</f>
        <v/>
      </c>
      <c r="H86" s="5">
        <f>SAISIE!$H86</f>
        <v>0</v>
      </c>
      <c r="I86" s="5" t="str">
        <f>IFERROR(VLOOKUP(SAISIE!$I86,REF_COUNTRIES!$A:$B,2,FALSE),"")</f>
        <v/>
      </c>
      <c r="J86" s="5" t="str">
        <f>IFERROR(VLOOKUP(SAISIE!$J86,REF_MATERIALS!$A:$B,2,FALSE),"")</f>
        <v/>
      </c>
      <c r="K86" s="5">
        <f>SAISIE!$K86</f>
        <v>0</v>
      </c>
      <c r="L86" s="5" t="str">
        <f>IFERROR(VLOOKUP(SAISIE!$L86,REF_COUNTRIES!$A:$B,2,FALSE),"")</f>
        <v/>
      </c>
      <c r="M86" s="5" t="str">
        <f>IFERROR(VLOOKUP(SAISIE!$M86,REF_MATERIALS!$A:$B,2,FALSE),"")</f>
        <v/>
      </c>
      <c r="N86" s="5">
        <f>SAISIE!$N86</f>
        <v>0</v>
      </c>
      <c r="O86" s="5" t="str">
        <f>IFERROR(VLOOKUP(SAISIE!$O86,REF_COUNTRIES!$A:$B,2,FALSE),"")</f>
        <v/>
      </c>
      <c r="P86" s="5" t="str">
        <f>IFERROR(VLOOKUP(SAISIE!$P86,REF_MATERIALS!$A:$B,2,FALSE),"")</f>
        <v/>
      </c>
      <c r="Q86" s="5">
        <f>SAISIE!$Q86</f>
        <v>0</v>
      </c>
      <c r="R86" s="5" t="str">
        <f>IFERROR(VLOOKUP(SAISIE!$R86,REF_COUNTRIES!$A:$B,2,FALSE),"")</f>
        <v/>
      </c>
      <c r="S86" s="5" t="str">
        <f>IFERROR(VLOOKUP(SAISIE!$S86,REF_COUNTRIES!$A:$B,2,FALSE),"")</f>
        <v>BD</v>
      </c>
      <c r="T86" s="5" t="str">
        <f>IFERROR(VLOOKUP(SAISIE!$T86,REF_COUNTRIES!$A:$B,2,FALSE),"")</f>
        <v>RAS</v>
      </c>
      <c r="U86" s="5" t="str">
        <f>IFERROR(VLOOKUP(SAISIE!$U86,REF_COUNTRIES!$A:$B,2,FALSE),"")</f>
        <v>RME</v>
      </c>
      <c r="V86" s="5" t="str">
        <f>IFERROR(VLOOKUP(SAISIE!$V86,REF_COUNTRIES!$A:$B,2,FALSE),"")</f>
        <v>RNA</v>
      </c>
    </row>
    <row r="87" spans="1:22" x14ac:dyDescent="0.25">
      <c r="A87" s="5" t="str">
        <f>SAISIE!$A87</f>
        <v>Produit Test 086 - Manteau / Veste</v>
      </c>
      <c r="B87" s="5" t="str">
        <f>IFERROR(VLOOKUP(SAISIE!$B87,REF_PRODUCTS!$A:$B,2,FALSE),"")</f>
        <v>manteau</v>
      </c>
      <c r="C87" s="5">
        <f>SAISIE!$C87</f>
        <v>0.32</v>
      </c>
      <c r="D87" s="5" t="str">
        <f>IFERROR(VLOOKUP(SAISIE!$D87,REF_MATERIALS!$A:$B,2,FALSE),"")</f>
        <v>0c1a4654-b030-4fe1-86b7-d96ce0b85bb8</v>
      </c>
      <c r="E87" s="5">
        <f>SAISIE!$E87</f>
        <v>1</v>
      </c>
      <c r="F87" s="5" t="str">
        <f>IFERROR(VLOOKUP(SAISIE!$F87,REF_COUNTRIES!$A:$B,2,FALSE),"")</f>
        <v>ROC</v>
      </c>
      <c r="G87" s="5" t="str">
        <f>IFERROR(VLOOKUP(SAISIE!$G87,REF_MATERIALS!$A:$B,2,FALSE),"")</f>
        <v/>
      </c>
      <c r="H87" s="5">
        <f>SAISIE!$H87</f>
        <v>0</v>
      </c>
      <c r="I87" s="5" t="str">
        <f>IFERROR(VLOOKUP(SAISIE!$I87,REF_COUNTRIES!$A:$B,2,FALSE),"")</f>
        <v/>
      </c>
      <c r="J87" s="5" t="str">
        <f>IFERROR(VLOOKUP(SAISIE!$J87,REF_MATERIALS!$A:$B,2,FALSE),"")</f>
        <v/>
      </c>
      <c r="K87" s="5">
        <f>SAISIE!$K87</f>
        <v>0</v>
      </c>
      <c r="L87" s="5" t="str">
        <f>IFERROR(VLOOKUP(SAISIE!$L87,REF_COUNTRIES!$A:$B,2,FALSE),"")</f>
        <v/>
      </c>
      <c r="M87" s="5" t="str">
        <f>IFERROR(VLOOKUP(SAISIE!$M87,REF_MATERIALS!$A:$B,2,FALSE),"")</f>
        <v/>
      </c>
      <c r="N87" s="5">
        <f>SAISIE!$N87</f>
        <v>0</v>
      </c>
      <c r="O87" s="5" t="str">
        <f>IFERROR(VLOOKUP(SAISIE!$O87,REF_COUNTRIES!$A:$B,2,FALSE),"")</f>
        <v/>
      </c>
      <c r="P87" s="5" t="str">
        <f>IFERROR(VLOOKUP(SAISIE!$P87,REF_MATERIALS!$A:$B,2,FALSE),"")</f>
        <v/>
      </c>
      <c r="Q87" s="5">
        <f>SAISIE!$Q87</f>
        <v>0</v>
      </c>
      <c r="R87" s="5" t="str">
        <f>IFERROR(VLOOKUP(SAISIE!$R87,REF_COUNTRIES!$A:$B,2,FALSE),"")</f>
        <v/>
      </c>
      <c r="S87" s="5" t="str">
        <f>IFERROR(VLOOKUP(SAISIE!$S87,REF_COUNTRIES!$A:$B,2,FALSE),"")</f>
        <v>RLA</v>
      </c>
      <c r="T87" s="5" t="str">
        <f>IFERROR(VLOOKUP(SAISIE!$T87,REF_COUNTRIES!$A:$B,2,FALSE),"")</f>
        <v>ROC</v>
      </c>
      <c r="U87" s="5" t="str">
        <f>IFERROR(VLOOKUP(SAISIE!$U87,REF_COUNTRIES!$A:$B,2,FALSE),"")</f>
        <v>---</v>
      </c>
      <c r="V87" s="5" t="str">
        <f>IFERROR(VLOOKUP(SAISIE!$V87,REF_COUNTRIES!$A:$B,2,FALSE),"")</f>
        <v>FR</v>
      </c>
    </row>
    <row r="88" spans="1:22" x14ac:dyDescent="0.25">
      <c r="A88" s="5" t="str">
        <f>SAISIE!$A88</f>
        <v>Produit Test 087 - Maillot de bain</v>
      </c>
      <c r="B88" s="5" t="str">
        <f>IFERROR(VLOOKUP(SAISIE!$B88,REF_PRODUCTS!$A:$B,2,FALSE),"")</f>
        <v>maillot-de-bain</v>
      </c>
      <c r="C88" s="5">
        <f>SAISIE!$C88</f>
        <v>0.28000000000000003</v>
      </c>
      <c r="D88" s="5" t="str">
        <f>IFERROR(VLOOKUP(SAISIE!$D88,REF_MATERIALS!$A:$B,2,FALSE),"")</f>
        <v>a1c1c2ec-33b1-49d6-bf8e-139e2eb7f097</v>
      </c>
      <c r="E88" s="5">
        <f>SAISIE!$E88</f>
        <v>0.87</v>
      </c>
      <c r="F88" s="5" t="str">
        <f>IFERROR(VLOOKUP(SAISIE!$F88,REF_COUNTRIES!$A:$B,2,FALSE),"")</f>
        <v>REO</v>
      </c>
      <c r="G88" s="5" t="str">
        <f>IFERROR(VLOOKUP(SAISIE!$G88,REF_MATERIALS!$A:$B,2,FALSE),"")</f>
        <v>a09b2677-2900-4417-a202-e5f9a1abcce1</v>
      </c>
      <c r="H88" s="5">
        <f>SAISIE!$H88</f>
        <v>0.13</v>
      </c>
      <c r="I88" s="5" t="str">
        <f>IFERROR(VLOOKUP(SAISIE!$I88,REF_COUNTRIES!$A:$B,2,FALSE),"")</f>
        <v>FR</v>
      </c>
      <c r="J88" s="5" t="str">
        <f>IFERROR(VLOOKUP(SAISIE!$J88,REF_MATERIALS!$A:$B,2,FALSE),"")</f>
        <v/>
      </c>
      <c r="K88" s="5">
        <f>SAISIE!$K88</f>
        <v>0</v>
      </c>
      <c r="L88" s="5" t="str">
        <f>IFERROR(VLOOKUP(SAISIE!$L88,REF_COUNTRIES!$A:$B,2,FALSE),"")</f>
        <v/>
      </c>
      <c r="M88" s="5" t="str">
        <f>IFERROR(VLOOKUP(SAISIE!$M88,REF_MATERIALS!$A:$B,2,FALSE),"")</f>
        <v/>
      </c>
      <c r="N88" s="5">
        <f>SAISIE!$N88</f>
        <v>0</v>
      </c>
      <c r="O88" s="5" t="str">
        <f>IFERROR(VLOOKUP(SAISIE!$O88,REF_COUNTRIES!$A:$B,2,FALSE),"")</f>
        <v/>
      </c>
      <c r="P88" s="5" t="str">
        <f>IFERROR(VLOOKUP(SAISIE!$P88,REF_MATERIALS!$A:$B,2,FALSE),"")</f>
        <v/>
      </c>
      <c r="Q88" s="5">
        <f>SAISIE!$Q88</f>
        <v>0</v>
      </c>
      <c r="R88" s="5" t="str">
        <f>IFERROR(VLOOKUP(SAISIE!$R88,REF_COUNTRIES!$A:$B,2,FALSE),"")</f>
        <v/>
      </c>
      <c r="S88" s="5" t="str">
        <f>IFERROR(VLOOKUP(SAISIE!$S88,REF_COUNTRIES!$A:$B,2,FALSE),"")</f>
        <v>CN</v>
      </c>
      <c r="T88" s="5" t="str">
        <f>IFERROR(VLOOKUP(SAISIE!$T88,REF_COUNTRIES!$A:$B,2,FALSE),"")</f>
        <v>FR</v>
      </c>
      <c r="U88" s="5" t="str">
        <f>IFERROR(VLOOKUP(SAISIE!$U88,REF_COUNTRIES!$A:$B,2,FALSE),"")</f>
        <v>RAS</v>
      </c>
      <c r="V88" s="5" t="str">
        <f>IFERROR(VLOOKUP(SAISIE!$V88,REF_COUNTRIES!$A:$B,2,FALSE),"")</f>
        <v>---</v>
      </c>
    </row>
    <row r="89" spans="1:22" x14ac:dyDescent="0.25">
      <c r="A89" s="5" t="str">
        <f>SAISIE!$A89</f>
        <v>Produit Test 088 - Pull</v>
      </c>
      <c r="B89" s="5" t="str">
        <f>IFERROR(VLOOKUP(SAISIE!$B89,REF_PRODUCTS!$A:$B,2,FALSE),"")</f>
        <v>pull</v>
      </c>
      <c r="C89" s="5">
        <f>SAISIE!$C89</f>
        <v>0.45</v>
      </c>
      <c r="D89" s="5" t="str">
        <f>IFERROR(VLOOKUP(SAISIE!$D89,REF_MATERIALS!$A:$B,2,FALSE),"")</f>
        <v>c84280ff-e921-4d5c-92d6-51030bf4f74e</v>
      </c>
      <c r="E89" s="5">
        <f>SAISIE!$E89</f>
        <v>1</v>
      </c>
      <c r="F89" s="5" t="str">
        <f>IFERROR(VLOOKUP(SAISIE!$F89,REF_COUNTRIES!$A:$B,2,FALSE),"")</f>
        <v>RLA</v>
      </c>
      <c r="G89" s="5" t="str">
        <f>IFERROR(VLOOKUP(SAISIE!$G89,REF_MATERIALS!$A:$B,2,FALSE),"")</f>
        <v/>
      </c>
      <c r="H89" s="5">
        <f>SAISIE!$H89</f>
        <v>0</v>
      </c>
      <c r="I89" s="5" t="str">
        <f>IFERROR(VLOOKUP(SAISIE!$I89,REF_COUNTRIES!$A:$B,2,FALSE),"")</f>
        <v/>
      </c>
      <c r="J89" s="5" t="str">
        <f>IFERROR(VLOOKUP(SAISIE!$J89,REF_MATERIALS!$A:$B,2,FALSE),"")</f>
        <v/>
      </c>
      <c r="K89" s="5">
        <f>SAISIE!$K89</f>
        <v>0</v>
      </c>
      <c r="L89" s="5" t="str">
        <f>IFERROR(VLOOKUP(SAISIE!$L89,REF_COUNTRIES!$A:$B,2,FALSE),"")</f>
        <v/>
      </c>
      <c r="M89" s="5" t="str">
        <f>IFERROR(VLOOKUP(SAISIE!$M89,REF_MATERIALS!$A:$B,2,FALSE),"")</f>
        <v/>
      </c>
      <c r="N89" s="5">
        <f>SAISIE!$N89</f>
        <v>0</v>
      </c>
      <c r="O89" s="5" t="str">
        <f>IFERROR(VLOOKUP(SAISIE!$O89,REF_COUNTRIES!$A:$B,2,FALSE),"")</f>
        <v/>
      </c>
      <c r="P89" s="5" t="str">
        <f>IFERROR(VLOOKUP(SAISIE!$P89,REF_MATERIALS!$A:$B,2,FALSE),"")</f>
        <v/>
      </c>
      <c r="Q89" s="5">
        <f>SAISIE!$Q89</f>
        <v>0</v>
      </c>
      <c r="R89" s="5" t="str">
        <f>IFERROR(VLOOKUP(SAISIE!$R89,REF_COUNTRIES!$A:$B,2,FALSE),"")</f>
        <v/>
      </c>
      <c r="S89" s="5" t="str">
        <f>IFERROR(VLOOKUP(SAISIE!$S89,REF_COUNTRIES!$A:$B,2,FALSE),"")</f>
        <v>RAF</v>
      </c>
      <c r="T89" s="5" t="str">
        <f>IFERROR(VLOOKUP(SAISIE!$T89,REF_COUNTRIES!$A:$B,2,FALSE),"")</f>
        <v>RAS</v>
      </c>
      <c r="U89" s="5" t="str">
        <f>IFERROR(VLOOKUP(SAISIE!$U89,REF_COUNTRIES!$A:$B,2,FALSE),"")</f>
        <v>TN</v>
      </c>
      <c r="V89" s="5" t="str">
        <f>IFERROR(VLOOKUP(SAISIE!$V89,REF_COUNTRIES!$A:$B,2,FALSE),"")</f>
        <v>BD</v>
      </c>
    </row>
    <row r="90" spans="1:22" x14ac:dyDescent="0.25">
      <c r="A90" s="5" t="str">
        <f>SAISIE!$A90</f>
        <v>Produit Test 089 - Manteau / Veste</v>
      </c>
      <c r="B90" s="5" t="str">
        <f>IFERROR(VLOOKUP(SAISIE!$B90,REF_PRODUCTS!$A:$B,2,FALSE),"")</f>
        <v>manteau</v>
      </c>
      <c r="C90" s="5">
        <f>SAISIE!$C90</f>
        <v>0.32</v>
      </c>
      <c r="D90" s="5" t="str">
        <f>IFERROR(VLOOKUP(SAISIE!$D90,REF_MATERIALS!$A:$B,2,FALSE),"")</f>
        <v>62a4d6fb-3276-4ba5-93a3-889ecd3bff84</v>
      </c>
      <c r="E90" s="5">
        <f>SAISIE!$E90</f>
        <v>1</v>
      </c>
      <c r="F90" s="5" t="str">
        <f>IFERROR(VLOOKUP(SAISIE!$F90,REF_COUNTRIES!$A:$B,2,FALSE),"")</f>
        <v>TR</v>
      </c>
      <c r="G90" s="5" t="str">
        <f>IFERROR(VLOOKUP(SAISIE!$G90,REF_MATERIALS!$A:$B,2,FALSE),"")</f>
        <v/>
      </c>
      <c r="H90" s="5">
        <f>SAISIE!$H90</f>
        <v>0</v>
      </c>
      <c r="I90" s="5" t="str">
        <f>IFERROR(VLOOKUP(SAISIE!$I90,REF_COUNTRIES!$A:$B,2,FALSE),"")</f>
        <v/>
      </c>
      <c r="J90" s="5" t="str">
        <f>IFERROR(VLOOKUP(SAISIE!$J90,REF_MATERIALS!$A:$B,2,FALSE),"")</f>
        <v/>
      </c>
      <c r="K90" s="5">
        <f>SAISIE!$K90</f>
        <v>0</v>
      </c>
      <c r="L90" s="5" t="str">
        <f>IFERROR(VLOOKUP(SAISIE!$L90,REF_COUNTRIES!$A:$B,2,FALSE),"")</f>
        <v/>
      </c>
      <c r="M90" s="5" t="str">
        <f>IFERROR(VLOOKUP(SAISIE!$M90,REF_MATERIALS!$A:$B,2,FALSE),"")</f>
        <v/>
      </c>
      <c r="N90" s="5">
        <f>SAISIE!$N90</f>
        <v>0</v>
      </c>
      <c r="O90" s="5" t="str">
        <f>IFERROR(VLOOKUP(SAISIE!$O90,REF_COUNTRIES!$A:$B,2,FALSE),"")</f>
        <v/>
      </c>
      <c r="P90" s="5" t="str">
        <f>IFERROR(VLOOKUP(SAISIE!$P90,REF_MATERIALS!$A:$B,2,FALSE),"")</f>
        <v/>
      </c>
      <c r="Q90" s="5">
        <f>SAISIE!$Q90</f>
        <v>0</v>
      </c>
      <c r="R90" s="5" t="str">
        <f>IFERROR(VLOOKUP(SAISIE!$R90,REF_COUNTRIES!$A:$B,2,FALSE),"")</f>
        <v/>
      </c>
      <c r="S90" s="5" t="str">
        <f>IFERROR(VLOOKUP(SAISIE!$S90,REF_COUNTRIES!$A:$B,2,FALSE),"")</f>
        <v>ROC</v>
      </c>
      <c r="T90" s="5" t="str">
        <f>IFERROR(VLOOKUP(SAISIE!$T90,REF_COUNTRIES!$A:$B,2,FALSE),"")</f>
        <v>VN</v>
      </c>
      <c r="U90" s="5" t="str">
        <f>IFERROR(VLOOKUP(SAISIE!$U90,REF_COUNTRIES!$A:$B,2,FALSE),"")</f>
        <v>MA</v>
      </c>
      <c r="V90" s="5" t="str">
        <f>IFERROR(VLOOKUP(SAISIE!$V90,REF_COUNTRIES!$A:$B,2,FALSE),"")</f>
        <v>MA</v>
      </c>
    </row>
    <row r="91" spans="1:22" x14ac:dyDescent="0.25">
      <c r="A91" s="5" t="str">
        <f>SAISIE!$A91</f>
        <v>Produit Test 090 - Pantalon / Short</v>
      </c>
      <c r="B91" s="5" t="str">
        <f>IFERROR(VLOOKUP(SAISIE!$B91,REF_PRODUCTS!$A:$B,2,FALSE),"")</f>
        <v>pantalon</v>
      </c>
      <c r="C91" s="5">
        <f>SAISIE!$C91</f>
        <v>0.42</v>
      </c>
      <c r="D91" s="5" t="str">
        <f>IFERROR(VLOOKUP(SAISIE!$D91,REF_MATERIALS!$A:$B,2,FALSE),"")</f>
        <v>9973088b-c929-4cc5-894a-1e4d28c161d4</v>
      </c>
      <c r="E91" s="5">
        <f>SAISIE!$E91</f>
        <v>0.86</v>
      </c>
      <c r="F91" s="5" t="str">
        <f>IFERROR(VLOOKUP(SAISIE!$F91,REF_COUNTRIES!$A:$B,2,FALSE),"")</f>
        <v>BD</v>
      </c>
      <c r="G91" s="5" t="str">
        <f>IFERROR(VLOOKUP(SAISIE!$G91,REF_MATERIALS!$A:$B,2,FALSE),"")</f>
        <v>d3d20384-88fb-4c75-ac12-c647365ac6c5</v>
      </c>
      <c r="H91" s="5">
        <f>SAISIE!$H91</f>
        <v>0.14000000000000001</v>
      </c>
      <c r="I91" s="5" t="str">
        <f>IFERROR(VLOOKUP(SAISIE!$I91,REF_COUNTRIES!$A:$B,2,FALSE),"")</f>
        <v>ROC</v>
      </c>
      <c r="J91" s="5" t="str">
        <f>IFERROR(VLOOKUP(SAISIE!$J91,REF_MATERIALS!$A:$B,2,FALSE),"")</f>
        <v/>
      </c>
      <c r="K91" s="5">
        <f>SAISIE!$K91</f>
        <v>0</v>
      </c>
      <c r="L91" s="5" t="str">
        <f>IFERROR(VLOOKUP(SAISIE!$L91,REF_COUNTRIES!$A:$B,2,FALSE),"")</f>
        <v/>
      </c>
      <c r="M91" s="5" t="str">
        <f>IFERROR(VLOOKUP(SAISIE!$M91,REF_MATERIALS!$A:$B,2,FALSE),"")</f>
        <v/>
      </c>
      <c r="N91" s="5">
        <f>SAISIE!$N91</f>
        <v>0</v>
      </c>
      <c r="O91" s="5" t="str">
        <f>IFERROR(VLOOKUP(SAISIE!$O91,REF_COUNTRIES!$A:$B,2,FALSE),"")</f>
        <v/>
      </c>
      <c r="P91" s="5" t="str">
        <f>IFERROR(VLOOKUP(SAISIE!$P91,REF_MATERIALS!$A:$B,2,FALSE),"")</f>
        <v/>
      </c>
      <c r="Q91" s="5">
        <f>SAISIE!$Q91</f>
        <v>0</v>
      </c>
      <c r="R91" s="5" t="str">
        <f>IFERROR(VLOOKUP(SAISIE!$R91,REF_COUNTRIES!$A:$B,2,FALSE),"")</f>
        <v/>
      </c>
      <c r="S91" s="5" t="str">
        <f>IFERROR(VLOOKUP(SAISIE!$S91,REF_COUNTRIES!$A:$B,2,FALSE),"")</f>
        <v>VN</v>
      </c>
      <c r="T91" s="5" t="str">
        <f>IFERROR(VLOOKUP(SAISIE!$T91,REF_COUNTRIES!$A:$B,2,FALSE),"")</f>
        <v>RLA</v>
      </c>
      <c r="U91" s="5" t="str">
        <f>IFERROR(VLOOKUP(SAISIE!$U91,REF_COUNTRIES!$A:$B,2,FALSE),"")</f>
        <v>KH</v>
      </c>
      <c r="V91" s="5" t="str">
        <f>IFERROR(VLOOKUP(SAISIE!$V91,REF_COUNTRIES!$A:$B,2,FALSE),"")</f>
        <v>PK</v>
      </c>
    </row>
    <row r="92" spans="1:22" x14ac:dyDescent="0.25">
      <c r="A92" s="5" t="str">
        <f>SAISIE!$A92</f>
        <v>Produit Test 091 - Pull</v>
      </c>
      <c r="B92" s="5" t="str">
        <f>IFERROR(VLOOKUP(SAISIE!$B92,REF_PRODUCTS!$A:$B,2,FALSE),"")</f>
        <v>pull</v>
      </c>
      <c r="C92" s="5">
        <f>SAISIE!$C92</f>
        <v>0.33</v>
      </c>
      <c r="D92" s="5" t="str">
        <f>IFERROR(VLOOKUP(SAISIE!$D92,REF_MATERIALS!$A:$B,2,FALSE),"")</f>
        <v>d3d20384-88fb-4c75-ac12-c647365ac6c5</v>
      </c>
      <c r="E92" s="5">
        <f>SAISIE!$E92</f>
        <v>1</v>
      </c>
      <c r="F92" s="5" t="str">
        <f>IFERROR(VLOOKUP(SAISIE!$F92,REF_COUNTRIES!$A:$B,2,FALSE),"")</f>
        <v>IN</v>
      </c>
      <c r="G92" s="5" t="str">
        <f>IFERROR(VLOOKUP(SAISIE!$G92,REF_MATERIALS!$A:$B,2,FALSE),"")</f>
        <v/>
      </c>
      <c r="H92" s="5">
        <f>SAISIE!$H92</f>
        <v>0</v>
      </c>
      <c r="I92" s="5" t="str">
        <f>IFERROR(VLOOKUP(SAISIE!$I92,REF_COUNTRIES!$A:$B,2,FALSE),"")</f>
        <v/>
      </c>
      <c r="J92" s="5" t="str">
        <f>IFERROR(VLOOKUP(SAISIE!$J92,REF_MATERIALS!$A:$B,2,FALSE),"")</f>
        <v/>
      </c>
      <c r="K92" s="5">
        <f>SAISIE!$K92</f>
        <v>0</v>
      </c>
      <c r="L92" s="5" t="str">
        <f>IFERROR(VLOOKUP(SAISIE!$L92,REF_COUNTRIES!$A:$B,2,FALSE),"")</f>
        <v/>
      </c>
      <c r="M92" s="5" t="str">
        <f>IFERROR(VLOOKUP(SAISIE!$M92,REF_MATERIALS!$A:$B,2,FALSE),"")</f>
        <v/>
      </c>
      <c r="N92" s="5">
        <f>SAISIE!$N92</f>
        <v>0</v>
      </c>
      <c r="O92" s="5" t="str">
        <f>IFERROR(VLOOKUP(SAISIE!$O92,REF_COUNTRIES!$A:$B,2,FALSE),"")</f>
        <v/>
      </c>
      <c r="P92" s="5" t="str">
        <f>IFERROR(VLOOKUP(SAISIE!$P92,REF_MATERIALS!$A:$B,2,FALSE),"")</f>
        <v/>
      </c>
      <c r="Q92" s="5">
        <f>SAISIE!$Q92</f>
        <v>0</v>
      </c>
      <c r="R92" s="5" t="str">
        <f>IFERROR(VLOOKUP(SAISIE!$R92,REF_COUNTRIES!$A:$B,2,FALSE),"")</f>
        <v/>
      </c>
      <c r="S92" s="5" t="str">
        <f>IFERROR(VLOOKUP(SAISIE!$S92,REF_COUNTRIES!$A:$B,2,FALSE),"")</f>
        <v>---</v>
      </c>
      <c r="T92" s="5" t="str">
        <f>IFERROR(VLOOKUP(SAISIE!$T92,REF_COUNTRIES!$A:$B,2,FALSE),"")</f>
        <v>---</v>
      </c>
      <c r="U92" s="5" t="str">
        <f>IFERROR(VLOOKUP(SAISIE!$U92,REF_COUNTRIES!$A:$B,2,FALSE),"")</f>
        <v>MM</v>
      </c>
      <c r="V92" s="5" t="str">
        <f>IFERROR(VLOOKUP(SAISIE!$V92,REF_COUNTRIES!$A:$B,2,FALSE),"")</f>
        <v>RAS</v>
      </c>
    </row>
    <row r="93" spans="1:22" x14ac:dyDescent="0.25">
      <c r="A93" s="5" t="str">
        <f>SAISIE!$A93</f>
        <v>Produit Test 092 - Maillot de bain</v>
      </c>
      <c r="B93" s="5" t="str">
        <f>IFERROR(VLOOKUP(SAISIE!$B93,REF_PRODUCTS!$A:$B,2,FALSE),"")</f>
        <v>maillot-de-bain</v>
      </c>
      <c r="C93" s="5">
        <f>SAISIE!$C93</f>
        <v>0.45</v>
      </c>
      <c r="D93" s="5" t="str">
        <f>IFERROR(VLOOKUP(SAISIE!$D93,REF_MATERIALS!$A:$B,2,FALSE),"")</f>
        <v>9dba0e95-0c35-4f8b-9267-62ddf47d4984</v>
      </c>
      <c r="E93" s="5">
        <f>SAISIE!$E93</f>
        <v>0.77</v>
      </c>
      <c r="F93" s="5" t="str">
        <f>IFERROR(VLOOKUP(SAISIE!$F93,REF_COUNTRIES!$A:$B,2,FALSE),"")</f>
        <v>ROC</v>
      </c>
      <c r="G93" s="5" t="str">
        <f>IFERROR(VLOOKUP(SAISIE!$G93,REF_MATERIALS!$A:$B,2,FALSE),"")</f>
        <v>1fc3e17d-5661-429d-a150-7986eae16d9d</v>
      </c>
      <c r="H93" s="5">
        <f>SAISIE!$H93</f>
        <v>0.23</v>
      </c>
      <c r="I93" s="5" t="str">
        <f>IFERROR(VLOOKUP(SAISIE!$I93,REF_COUNTRIES!$A:$B,2,FALSE),"")</f>
        <v>RME</v>
      </c>
      <c r="J93" s="5" t="str">
        <f>IFERROR(VLOOKUP(SAISIE!$J93,REF_MATERIALS!$A:$B,2,FALSE),"")</f>
        <v/>
      </c>
      <c r="K93" s="5">
        <f>SAISIE!$K93</f>
        <v>0</v>
      </c>
      <c r="L93" s="5" t="str">
        <f>IFERROR(VLOOKUP(SAISIE!$L93,REF_COUNTRIES!$A:$B,2,FALSE),"")</f>
        <v/>
      </c>
      <c r="M93" s="5" t="str">
        <f>IFERROR(VLOOKUP(SAISIE!$M93,REF_MATERIALS!$A:$B,2,FALSE),"")</f>
        <v/>
      </c>
      <c r="N93" s="5">
        <f>SAISIE!$N93</f>
        <v>0</v>
      </c>
      <c r="O93" s="5" t="str">
        <f>IFERROR(VLOOKUP(SAISIE!$O93,REF_COUNTRIES!$A:$B,2,FALSE),"")</f>
        <v/>
      </c>
      <c r="P93" s="5" t="str">
        <f>IFERROR(VLOOKUP(SAISIE!$P93,REF_MATERIALS!$A:$B,2,FALSE),"")</f>
        <v/>
      </c>
      <c r="Q93" s="5">
        <f>SAISIE!$Q93</f>
        <v>0</v>
      </c>
      <c r="R93" s="5" t="str">
        <f>IFERROR(VLOOKUP(SAISIE!$R93,REF_COUNTRIES!$A:$B,2,FALSE),"")</f>
        <v/>
      </c>
      <c r="S93" s="5" t="str">
        <f>IFERROR(VLOOKUP(SAISIE!$S93,REF_COUNTRIES!$A:$B,2,FALSE),"")</f>
        <v>RME</v>
      </c>
      <c r="T93" s="5" t="str">
        <f>IFERROR(VLOOKUP(SAISIE!$T93,REF_COUNTRIES!$A:$B,2,FALSE),"")</f>
        <v>CN</v>
      </c>
      <c r="U93" s="5" t="str">
        <f>IFERROR(VLOOKUP(SAISIE!$U93,REF_COUNTRIES!$A:$B,2,FALSE),"")</f>
        <v>IN</v>
      </c>
      <c r="V93" s="5" t="str">
        <f>IFERROR(VLOOKUP(SAISIE!$V93,REF_COUNTRIES!$A:$B,2,FALSE),"")</f>
        <v>RAF</v>
      </c>
    </row>
    <row r="94" spans="1:22" x14ac:dyDescent="0.25">
      <c r="A94" s="5" t="str">
        <f>SAISIE!$A94</f>
        <v>Produit Test 093 - T-shirt / Polo</v>
      </c>
      <c r="B94" s="5" t="str">
        <f>IFERROR(VLOOKUP(SAISIE!$B94,REF_PRODUCTS!$A:$B,2,FALSE),"")</f>
        <v>tshirt</v>
      </c>
      <c r="C94" s="5">
        <f>SAISIE!$C94</f>
        <v>0.19</v>
      </c>
      <c r="D94" s="5" t="str">
        <f>IFERROR(VLOOKUP(SAISIE!$D94,REF_MATERIALS!$A:$B,2,FALSE),"")</f>
        <v>457e9b0d-9eda-4dca-b199-deeb0a154fa9</v>
      </c>
      <c r="E94" s="5">
        <f>SAISIE!$E94</f>
        <v>0.63</v>
      </c>
      <c r="F94" s="5" t="str">
        <f>IFERROR(VLOOKUP(SAISIE!$F94,REF_COUNTRIES!$A:$B,2,FALSE),"")</f>
        <v>KH</v>
      </c>
      <c r="G94" s="5" t="str">
        <f>IFERROR(VLOOKUP(SAISIE!$G94,REF_MATERIALS!$A:$B,2,FALSE),"")</f>
        <v>a09b2677-2900-4417-a202-e5f9a1abcce1</v>
      </c>
      <c r="H94" s="5">
        <f>SAISIE!$H94</f>
        <v>0.37</v>
      </c>
      <c r="I94" s="5" t="str">
        <f>IFERROR(VLOOKUP(SAISIE!$I94,REF_COUNTRIES!$A:$B,2,FALSE),"")</f>
        <v>ROC</v>
      </c>
      <c r="J94" s="5" t="str">
        <f>IFERROR(VLOOKUP(SAISIE!$J94,REF_MATERIALS!$A:$B,2,FALSE),"")</f>
        <v/>
      </c>
      <c r="K94" s="5">
        <f>SAISIE!$K94</f>
        <v>0</v>
      </c>
      <c r="L94" s="5" t="str">
        <f>IFERROR(VLOOKUP(SAISIE!$L94,REF_COUNTRIES!$A:$B,2,FALSE),"")</f>
        <v/>
      </c>
      <c r="M94" s="5" t="str">
        <f>IFERROR(VLOOKUP(SAISIE!$M94,REF_MATERIALS!$A:$B,2,FALSE),"")</f>
        <v/>
      </c>
      <c r="N94" s="5">
        <f>SAISIE!$N94</f>
        <v>0</v>
      </c>
      <c r="O94" s="5" t="str">
        <f>IFERROR(VLOOKUP(SAISIE!$O94,REF_COUNTRIES!$A:$B,2,FALSE),"")</f>
        <v/>
      </c>
      <c r="P94" s="5" t="str">
        <f>IFERROR(VLOOKUP(SAISIE!$P94,REF_MATERIALS!$A:$B,2,FALSE),"")</f>
        <v/>
      </c>
      <c r="Q94" s="5">
        <f>SAISIE!$Q94</f>
        <v>0</v>
      </c>
      <c r="R94" s="5" t="str">
        <f>IFERROR(VLOOKUP(SAISIE!$R94,REF_COUNTRIES!$A:$B,2,FALSE),"")</f>
        <v/>
      </c>
      <c r="S94" s="5" t="str">
        <f>IFERROR(VLOOKUP(SAISIE!$S94,REF_COUNTRIES!$A:$B,2,FALSE),"")</f>
        <v>RNA</v>
      </c>
      <c r="T94" s="5" t="str">
        <f>IFERROR(VLOOKUP(SAISIE!$T94,REF_COUNTRIES!$A:$B,2,FALSE),"")</f>
        <v>RME</v>
      </c>
      <c r="U94" s="5" t="str">
        <f>IFERROR(VLOOKUP(SAISIE!$U94,REF_COUNTRIES!$A:$B,2,FALSE),"")</f>
        <v>VN</v>
      </c>
      <c r="V94" s="5" t="str">
        <f>IFERROR(VLOOKUP(SAISIE!$V94,REF_COUNTRIES!$A:$B,2,FALSE),"")</f>
        <v>REE</v>
      </c>
    </row>
    <row r="95" spans="1:22" x14ac:dyDescent="0.25">
      <c r="A95" s="5" t="str">
        <f>SAISIE!$A95</f>
        <v>Produit Test 094 - Maillot de bain</v>
      </c>
      <c r="B95" s="5" t="str">
        <f>IFERROR(VLOOKUP(SAISIE!$B95,REF_PRODUCTS!$A:$B,2,FALSE),"")</f>
        <v>maillot-de-bain</v>
      </c>
      <c r="C95" s="5">
        <f>SAISIE!$C95</f>
        <v>0.19</v>
      </c>
      <c r="D95" s="5" t="str">
        <f>IFERROR(VLOOKUP(SAISIE!$D95,REF_MATERIALS!$A:$B,2,FALSE),"")</f>
        <v>62a4d6fb-3276-4ba5-93a3-889ecd3bff84</v>
      </c>
      <c r="E95" s="5">
        <f>SAISIE!$E95</f>
        <v>0.78</v>
      </c>
      <c r="F95" s="5" t="str">
        <f>IFERROR(VLOOKUP(SAISIE!$F95,REF_COUNTRIES!$A:$B,2,FALSE),"")</f>
        <v>ROC</v>
      </c>
      <c r="G95" s="5" t="str">
        <f>IFERROR(VLOOKUP(SAISIE!$G95,REF_MATERIALS!$A:$B,2,FALSE),"")</f>
        <v>a52e486c-b67e-40af-8337-e8143cbf9076</v>
      </c>
      <c r="H95" s="5">
        <f>SAISIE!$H95</f>
        <v>0.22</v>
      </c>
      <c r="I95" s="5" t="str">
        <f>IFERROR(VLOOKUP(SAISIE!$I95,REF_COUNTRIES!$A:$B,2,FALSE),"")</f>
        <v>IN</v>
      </c>
      <c r="J95" s="5" t="str">
        <f>IFERROR(VLOOKUP(SAISIE!$J95,REF_MATERIALS!$A:$B,2,FALSE),"")</f>
        <v/>
      </c>
      <c r="K95" s="5">
        <f>SAISIE!$K95</f>
        <v>0</v>
      </c>
      <c r="L95" s="5" t="str">
        <f>IFERROR(VLOOKUP(SAISIE!$L95,REF_COUNTRIES!$A:$B,2,FALSE),"")</f>
        <v/>
      </c>
      <c r="M95" s="5" t="str">
        <f>IFERROR(VLOOKUP(SAISIE!$M95,REF_MATERIALS!$A:$B,2,FALSE),"")</f>
        <v/>
      </c>
      <c r="N95" s="5">
        <f>SAISIE!$N95</f>
        <v>0</v>
      </c>
      <c r="O95" s="5" t="str">
        <f>IFERROR(VLOOKUP(SAISIE!$O95,REF_COUNTRIES!$A:$B,2,FALSE),"")</f>
        <v/>
      </c>
      <c r="P95" s="5" t="str">
        <f>IFERROR(VLOOKUP(SAISIE!$P95,REF_MATERIALS!$A:$B,2,FALSE),"")</f>
        <v/>
      </c>
      <c r="Q95" s="5">
        <f>SAISIE!$Q95</f>
        <v>0</v>
      </c>
      <c r="R95" s="5" t="str">
        <f>IFERROR(VLOOKUP(SAISIE!$R95,REF_COUNTRIES!$A:$B,2,FALSE),"")</f>
        <v/>
      </c>
      <c r="S95" s="5" t="str">
        <f>IFERROR(VLOOKUP(SAISIE!$S95,REF_COUNTRIES!$A:$B,2,FALSE),"")</f>
        <v>RAF</v>
      </c>
      <c r="T95" s="5" t="str">
        <f>IFERROR(VLOOKUP(SAISIE!$T95,REF_COUNTRIES!$A:$B,2,FALSE),"")</f>
        <v>KH</v>
      </c>
      <c r="U95" s="5" t="str">
        <f>IFERROR(VLOOKUP(SAISIE!$U95,REF_COUNTRIES!$A:$B,2,FALSE),"")</f>
        <v>REO</v>
      </c>
      <c r="V95" s="5" t="str">
        <f>IFERROR(VLOOKUP(SAISIE!$V95,REF_COUNTRIES!$A:$B,2,FALSE),"")</f>
        <v>RAF</v>
      </c>
    </row>
    <row r="96" spans="1:22" x14ac:dyDescent="0.25">
      <c r="A96" s="5" t="str">
        <f>SAISIE!$A96</f>
        <v>Produit Test 095 - Jupe / Robe</v>
      </c>
      <c r="B96" s="5" t="str">
        <f>IFERROR(VLOOKUP(SAISIE!$B96,REF_PRODUCTS!$A:$B,2,FALSE),"")</f>
        <v>jupe</v>
      </c>
      <c r="C96" s="5">
        <f>SAISIE!$C96</f>
        <v>0.46</v>
      </c>
      <c r="D96" s="5" t="str">
        <f>IFERROR(VLOOKUP(SAISIE!$D96,REF_MATERIALS!$A:$B,2,FALSE),"")</f>
        <v>c84280ff-e921-4d5c-92d6-51030bf4f74e</v>
      </c>
      <c r="E96" s="5">
        <f>SAISIE!$E96</f>
        <v>1</v>
      </c>
      <c r="F96" s="5" t="str">
        <f>IFERROR(VLOOKUP(SAISIE!$F96,REF_COUNTRIES!$A:$B,2,FALSE),"")</f>
        <v>RLA</v>
      </c>
      <c r="G96" s="5" t="str">
        <f>IFERROR(VLOOKUP(SAISIE!$G96,REF_MATERIALS!$A:$B,2,FALSE),"")</f>
        <v/>
      </c>
      <c r="H96" s="5">
        <f>SAISIE!$H96</f>
        <v>0</v>
      </c>
      <c r="I96" s="5" t="str">
        <f>IFERROR(VLOOKUP(SAISIE!$I96,REF_COUNTRIES!$A:$B,2,FALSE),"")</f>
        <v/>
      </c>
      <c r="J96" s="5" t="str">
        <f>IFERROR(VLOOKUP(SAISIE!$J96,REF_MATERIALS!$A:$B,2,FALSE),"")</f>
        <v/>
      </c>
      <c r="K96" s="5">
        <f>SAISIE!$K96</f>
        <v>0</v>
      </c>
      <c r="L96" s="5" t="str">
        <f>IFERROR(VLOOKUP(SAISIE!$L96,REF_COUNTRIES!$A:$B,2,FALSE),"")</f>
        <v/>
      </c>
      <c r="M96" s="5" t="str">
        <f>IFERROR(VLOOKUP(SAISIE!$M96,REF_MATERIALS!$A:$B,2,FALSE),"")</f>
        <v/>
      </c>
      <c r="N96" s="5">
        <f>SAISIE!$N96</f>
        <v>0</v>
      </c>
      <c r="O96" s="5" t="str">
        <f>IFERROR(VLOOKUP(SAISIE!$O96,REF_COUNTRIES!$A:$B,2,FALSE),"")</f>
        <v/>
      </c>
      <c r="P96" s="5" t="str">
        <f>IFERROR(VLOOKUP(SAISIE!$P96,REF_MATERIALS!$A:$B,2,FALSE),"")</f>
        <v/>
      </c>
      <c r="Q96" s="5">
        <f>SAISIE!$Q96</f>
        <v>0</v>
      </c>
      <c r="R96" s="5" t="str">
        <f>IFERROR(VLOOKUP(SAISIE!$R96,REF_COUNTRIES!$A:$B,2,FALSE),"")</f>
        <v/>
      </c>
      <c r="S96" s="5" t="str">
        <f>IFERROR(VLOOKUP(SAISIE!$S96,REF_COUNTRIES!$A:$B,2,FALSE),"")</f>
        <v>RME</v>
      </c>
      <c r="T96" s="5" t="str">
        <f>IFERROR(VLOOKUP(SAISIE!$T96,REF_COUNTRIES!$A:$B,2,FALSE),"")</f>
        <v>RAF</v>
      </c>
      <c r="U96" s="5" t="str">
        <f>IFERROR(VLOOKUP(SAISIE!$U96,REF_COUNTRIES!$A:$B,2,FALSE),"")</f>
        <v>VN</v>
      </c>
      <c r="V96" s="5" t="str">
        <f>IFERROR(VLOOKUP(SAISIE!$V96,REF_COUNTRIES!$A:$B,2,FALSE),"")</f>
        <v>RAF</v>
      </c>
    </row>
    <row r="97" spans="1:22" x14ac:dyDescent="0.25">
      <c r="A97" s="5" t="str">
        <f>SAISIE!$A97</f>
        <v>Produit Test 096 - Jupe / Robe</v>
      </c>
      <c r="B97" s="5" t="str">
        <f>IFERROR(VLOOKUP(SAISIE!$B97,REF_PRODUCTS!$A:$B,2,FALSE),"")</f>
        <v>jupe</v>
      </c>
      <c r="C97" s="5">
        <f>SAISIE!$C97</f>
        <v>0.48</v>
      </c>
      <c r="D97" s="5" t="str">
        <f>IFERROR(VLOOKUP(SAISIE!$D97,REF_MATERIALS!$A:$B,2,FALSE),"")</f>
        <v>8f44c680-1263-4588-b79b-a9e4dc3d8de4</v>
      </c>
      <c r="E97" s="5">
        <f>SAISIE!$E97</f>
        <v>1</v>
      </c>
      <c r="F97" s="5" t="str">
        <f>IFERROR(VLOOKUP(SAISIE!$F97,REF_COUNTRIES!$A:$B,2,FALSE),"")</f>
        <v>VN</v>
      </c>
      <c r="G97" s="5" t="str">
        <f>IFERROR(VLOOKUP(SAISIE!$G97,REF_MATERIALS!$A:$B,2,FALSE),"")</f>
        <v/>
      </c>
      <c r="H97" s="5">
        <f>SAISIE!$H97</f>
        <v>0</v>
      </c>
      <c r="I97" s="5" t="str">
        <f>IFERROR(VLOOKUP(SAISIE!$I97,REF_COUNTRIES!$A:$B,2,FALSE),"")</f>
        <v/>
      </c>
      <c r="J97" s="5" t="str">
        <f>IFERROR(VLOOKUP(SAISIE!$J97,REF_MATERIALS!$A:$B,2,FALSE),"")</f>
        <v/>
      </c>
      <c r="K97" s="5">
        <f>SAISIE!$K97</f>
        <v>0</v>
      </c>
      <c r="L97" s="5" t="str">
        <f>IFERROR(VLOOKUP(SAISIE!$L97,REF_COUNTRIES!$A:$B,2,FALSE),"")</f>
        <v/>
      </c>
      <c r="M97" s="5" t="str">
        <f>IFERROR(VLOOKUP(SAISIE!$M97,REF_MATERIALS!$A:$B,2,FALSE),"")</f>
        <v/>
      </c>
      <c r="N97" s="5">
        <f>SAISIE!$N97</f>
        <v>0</v>
      </c>
      <c r="O97" s="5" t="str">
        <f>IFERROR(VLOOKUP(SAISIE!$O97,REF_COUNTRIES!$A:$B,2,FALSE),"")</f>
        <v/>
      </c>
      <c r="P97" s="5" t="str">
        <f>IFERROR(VLOOKUP(SAISIE!$P97,REF_MATERIALS!$A:$B,2,FALSE),"")</f>
        <v/>
      </c>
      <c r="Q97" s="5">
        <f>SAISIE!$Q97</f>
        <v>0</v>
      </c>
      <c r="R97" s="5" t="str">
        <f>IFERROR(VLOOKUP(SAISIE!$R97,REF_COUNTRIES!$A:$B,2,FALSE),"")</f>
        <v/>
      </c>
      <c r="S97" s="5" t="str">
        <f>IFERROR(VLOOKUP(SAISIE!$S97,REF_COUNTRIES!$A:$B,2,FALSE),"")</f>
        <v>REE</v>
      </c>
      <c r="T97" s="5" t="str">
        <f>IFERROR(VLOOKUP(SAISIE!$T97,REF_COUNTRIES!$A:$B,2,FALSE),"")</f>
        <v>RLA</v>
      </c>
      <c r="U97" s="5" t="str">
        <f>IFERROR(VLOOKUP(SAISIE!$U97,REF_COUNTRIES!$A:$B,2,FALSE),"")</f>
        <v>PK</v>
      </c>
      <c r="V97" s="5" t="str">
        <f>IFERROR(VLOOKUP(SAISIE!$V97,REF_COUNTRIES!$A:$B,2,FALSE),"")</f>
        <v>RAF</v>
      </c>
    </row>
    <row r="98" spans="1:22" x14ac:dyDescent="0.25">
      <c r="A98" s="5" t="str">
        <f>SAISIE!$A98</f>
        <v>Produit Test 097 - Maillot de bain</v>
      </c>
      <c r="B98" s="5" t="str">
        <f>IFERROR(VLOOKUP(SAISIE!$B98,REF_PRODUCTS!$A:$B,2,FALSE),"")</f>
        <v>maillot-de-bain</v>
      </c>
      <c r="C98" s="5">
        <f>SAISIE!$C98</f>
        <v>0.32</v>
      </c>
      <c r="D98" s="5" t="str">
        <f>IFERROR(VLOOKUP(SAISIE!$D98,REF_MATERIALS!$A:$B,2,FALSE),"")</f>
        <v>72e29a61-52a9-4eb5-b3fc-5fb87edea041</v>
      </c>
      <c r="E98" s="5">
        <f>SAISIE!$E98</f>
        <v>1</v>
      </c>
      <c r="F98" s="5" t="str">
        <f>IFERROR(VLOOKUP(SAISIE!$F98,REF_COUNTRIES!$A:$B,2,FALSE),"")</f>
        <v>RNA</v>
      </c>
      <c r="G98" s="5" t="str">
        <f>IFERROR(VLOOKUP(SAISIE!$G98,REF_MATERIALS!$A:$B,2,FALSE),"")</f>
        <v/>
      </c>
      <c r="H98" s="5">
        <f>SAISIE!$H98</f>
        <v>0</v>
      </c>
      <c r="I98" s="5" t="str">
        <f>IFERROR(VLOOKUP(SAISIE!$I98,REF_COUNTRIES!$A:$B,2,FALSE),"")</f>
        <v/>
      </c>
      <c r="J98" s="5" t="str">
        <f>IFERROR(VLOOKUP(SAISIE!$J98,REF_MATERIALS!$A:$B,2,FALSE),"")</f>
        <v/>
      </c>
      <c r="K98" s="5">
        <f>SAISIE!$K98</f>
        <v>0</v>
      </c>
      <c r="L98" s="5" t="str">
        <f>IFERROR(VLOOKUP(SAISIE!$L98,REF_COUNTRIES!$A:$B,2,FALSE),"")</f>
        <v/>
      </c>
      <c r="M98" s="5" t="str">
        <f>IFERROR(VLOOKUP(SAISIE!$M98,REF_MATERIALS!$A:$B,2,FALSE),"")</f>
        <v/>
      </c>
      <c r="N98" s="5">
        <f>SAISIE!$N98</f>
        <v>0</v>
      </c>
      <c r="O98" s="5" t="str">
        <f>IFERROR(VLOOKUP(SAISIE!$O98,REF_COUNTRIES!$A:$B,2,FALSE),"")</f>
        <v/>
      </c>
      <c r="P98" s="5" t="str">
        <f>IFERROR(VLOOKUP(SAISIE!$P98,REF_MATERIALS!$A:$B,2,FALSE),"")</f>
        <v/>
      </c>
      <c r="Q98" s="5">
        <f>SAISIE!$Q98</f>
        <v>0</v>
      </c>
      <c r="R98" s="5" t="str">
        <f>IFERROR(VLOOKUP(SAISIE!$R98,REF_COUNTRIES!$A:$B,2,FALSE),"")</f>
        <v/>
      </c>
      <c r="S98" s="5" t="str">
        <f>IFERROR(VLOOKUP(SAISIE!$S98,REF_COUNTRIES!$A:$B,2,FALSE),"")</f>
        <v>TN</v>
      </c>
      <c r="T98" s="5" t="str">
        <f>IFERROR(VLOOKUP(SAISIE!$T98,REF_COUNTRIES!$A:$B,2,FALSE),"")</f>
        <v>CN</v>
      </c>
      <c r="U98" s="5" t="str">
        <f>IFERROR(VLOOKUP(SAISIE!$U98,REF_COUNTRIES!$A:$B,2,FALSE),"")</f>
        <v>TN</v>
      </c>
      <c r="V98" s="5" t="str">
        <f>IFERROR(VLOOKUP(SAISIE!$V98,REF_COUNTRIES!$A:$B,2,FALSE),"")</f>
        <v>RLA</v>
      </c>
    </row>
    <row r="99" spans="1:22" x14ac:dyDescent="0.25">
      <c r="A99" s="5" t="str">
        <f>SAISIE!$A99</f>
        <v>Produit Test 098 - Chaussettes</v>
      </c>
      <c r="B99" s="5" t="str">
        <f>IFERROR(VLOOKUP(SAISIE!$B99,REF_PRODUCTS!$A:$B,2,FALSE),"")</f>
        <v>chaussettes</v>
      </c>
      <c r="C99" s="5">
        <f>SAISIE!$C99</f>
        <v>0.05</v>
      </c>
      <c r="D99" s="5" t="str">
        <f>IFERROR(VLOOKUP(SAISIE!$D99,REF_MATERIALS!$A:$B,2,FALSE),"")</f>
        <v>72e29a61-52a9-4eb5-b3fc-5fb87edea041</v>
      </c>
      <c r="E99" s="5">
        <f>SAISIE!$E99</f>
        <v>1</v>
      </c>
      <c r="F99" s="5" t="str">
        <f>IFERROR(VLOOKUP(SAISIE!$F99,REF_COUNTRIES!$A:$B,2,FALSE),"")</f>
        <v>TR</v>
      </c>
      <c r="G99" s="5" t="str">
        <f>IFERROR(VLOOKUP(SAISIE!$G99,REF_MATERIALS!$A:$B,2,FALSE),"")</f>
        <v/>
      </c>
      <c r="H99" s="5">
        <f>SAISIE!$H99</f>
        <v>0</v>
      </c>
      <c r="I99" s="5" t="str">
        <f>IFERROR(VLOOKUP(SAISIE!$I99,REF_COUNTRIES!$A:$B,2,FALSE),"")</f>
        <v/>
      </c>
      <c r="J99" s="5" t="str">
        <f>IFERROR(VLOOKUP(SAISIE!$J99,REF_MATERIALS!$A:$B,2,FALSE),"")</f>
        <v/>
      </c>
      <c r="K99" s="5">
        <f>SAISIE!$K99</f>
        <v>0</v>
      </c>
      <c r="L99" s="5" t="str">
        <f>IFERROR(VLOOKUP(SAISIE!$L99,REF_COUNTRIES!$A:$B,2,FALSE),"")</f>
        <v/>
      </c>
      <c r="M99" s="5" t="str">
        <f>IFERROR(VLOOKUP(SAISIE!$M99,REF_MATERIALS!$A:$B,2,FALSE),"")</f>
        <v/>
      </c>
      <c r="N99" s="5">
        <f>SAISIE!$N99</f>
        <v>0</v>
      </c>
      <c r="O99" s="5" t="str">
        <f>IFERROR(VLOOKUP(SAISIE!$O99,REF_COUNTRIES!$A:$B,2,FALSE),"")</f>
        <v/>
      </c>
      <c r="P99" s="5" t="str">
        <f>IFERROR(VLOOKUP(SAISIE!$P99,REF_MATERIALS!$A:$B,2,FALSE),"")</f>
        <v/>
      </c>
      <c r="Q99" s="5">
        <f>SAISIE!$Q99</f>
        <v>0</v>
      </c>
      <c r="R99" s="5" t="str">
        <f>IFERROR(VLOOKUP(SAISIE!$R99,REF_COUNTRIES!$A:$B,2,FALSE),"")</f>
        <v/>
      </c>
      <c r="S99" s="5" t="str">
        <f>IFERROR(VLOOKUP(SAISIE!$S99,REF_COUNTRIES!$A:$B,2,FALSE),"")</f>
        <v>RAS</v>
      </c>
      <c r="T99" s="5" t="str">
        <f>IFERROR(VLOOKUP(SAISIE!$T99,REF_COUNTRIES!$A:$B,2,FALSE),"")</f>
        <v>CN</v>
      </c>
      <c r="U99" s="5" t="str">
        <f>IFERROR(VLOOKUP(SAISIE!$U99,REF_COUNTRIES!$A:$B,2,FALSE),"")</f>
        <v>TN</v>
      </c>
      <c r="V99" s="5" t="str">
        <f>IFERROR(VLOOKUP(SAISIE!$V99,REF_COUNTRIES!$A:$B,2,FALSE),"")</f>
        <v>CN</v>
      </c>
    </row>
    <row r="100" spans="1:22" x14ac:dyDescent="0.25">
      <c r="A100" s="5" t="str">
        <f>SAISIE!$A100</f>
        <v>Produit Test 099 - Boxer / Slip (tricoté)</v>
      </c>
      <c r="B100" s="5" t="str">
        <f>IFERROR(VLOOKUP(SAISIE!$B100,REF_PRODUCTS!$A:$B,2,FALSE),"")</f>
        <v>slip</v>
      </c>
      <c r="C100" s="5">
        <f>SAISIE!$C100</f>
        <v>0.48</v>
      </c>
      <c r="D100" s="5" t="str">
        <f>IFERROR(VLOOKUP(SAISIE!$D100,REF_MATERIALS!$A:$B,2,FALSE),"")</f>
        <v>9973088b-c929-4cc5-894a-1e4d28c161d4</v>
      </c>
      <c r="E100" s="5">
        <f>SAISIE!$E100</f>
        <v>0.85</v>
      </c>
      <c r="F100" s="5" t="str">
        <f>IFERROR(VLOOKUP(SAISIE!$F100,REF_COUNTRIES!$A:$B,2,FALSE),"")</f>
        <v>TN</v>
      </c>
      <c r="G100" s="5" t="str">
        <f>IFERROR(VLOOKUP(SAISIE!$G100,REF_MATERIALS!$A:$B,2,FALSE),"")</f>
        <v>a09b2677-2900-4417-a202-e5f9a1abcce1</v>
      </c>
      <c r="H100" s="5">
        <f>SAISIE!$H100</f>
        <v>0.15</v>
      </c>
      <c r="I100" s="5" t="str">
        <f>IFERROR(VLOOKUP(SAISIE!$I100,REF_COUNTRIES!$A:$B,2,FALSE),"")</f>
        <v>MA</v>
      </c>
      <c r="J100" s="5" t="str">
        <f>IFERROR(VLOOKUP(SAISIE!$J100,REF_MATERIALS!$A:$B,2,FALSE),"")</f>
        <v/>
      </c>
      <c r="K100" s="5">
        <f>SAISIE!$K100</f>
        <v>0</v>
      </c>
      <c r="L100" s="5" t="str">
        <f>IFERROR(VLOOKUP(SAISIE!$L100,REF_COUNTRIES!$A:$B,2,FALSE),"")</f>
        <v/>
      </c>
      <c r="M100" s="5" t="str">
        <f>IFERROR(VLOOKUP(SAISIE!$M100,REF_MATERIALS!$A:$B,2,FALSE),"")</f>
        <v/>
      </c>
      <c r="N100" s="5">
        <f>SAISIE!$N100</f>
        <v>0</v>
      </c>
      <c r="O100" s="5" t="str">
        <f>IFERROR(VLOOKUP(SAISIE!$O100,REF_COUNTRIES!$A:$B,2,FALSE),"")</f>
        <v/>
      </c>
      <c r="P100" s="5" t="str">
        <f>IFERROR(VLOOKUP(SAISIE!$P100,REF_MATERIALS!$A:$B,2,FALSE),"")</f>
        <v/>
      </c>
      <c r="Q100" s="5">
        <f>SAISIE!$Q100</f>
        <v>0</v>
      </c>
      <c r="R100" s="5" t="str">
        <f>IFERROR(VLOOKUP(SAISIE!$R100,REF_COUNTRIES!$A:$B,2,FALSE),"")</f>
        <v/>
      </c>
      <c r="S100" s="5" t="str">
        <f>IFERROR(VLOOKUP(SAISIE!$S100,REF_COUNTRIES!$A:$B,2,FALSE),"")</f>
        <v>RAS</v>
      </c>
      <c r="T100" s="5" t="str">
        <f>IFERROR(VLOOKUP(SAISIE!$T100,REF_COUNTRIES!$A:$B,2,FALSE),"")</f>
        <v>TN</v>
      </c>
      <c r="U100" s="5" t="str">
        <f>IFERROR(VLOOKUP(SAISIE!$U100,REF_COUNTRIES!$A:$B,2,FALSE),"")</f>
        <v>RAS</v>
      </c>
      <c r="V100" s="5" t="str">
        <f>IFERROR(VLOOKUP(SAISIE!$V100,REF_COUNTRIES!$A:$B,2,FALSE),"")</f>
        <v>REE</v>
      </c>
    </row>
    <row r="101" spans="1:22" x14ac:dyDescent="0.25">
      <c r="A101" s="5" t="str">
        <f>SAISIE!$A101</f>
        <v>Produit Test 100 - T-shirt / Polo</v>
      </c>
      <c r="B101" s="5" t="str">
        <f>IFERROR(VLOOKUP(SAISIE!$B101,REF_PRODUCTS!$A:$B,2,FALSE),"")</f>
        <v>tshirt</v>
      </c>
      <c r="C101" s="5">
        <f>SAISIE!$C101</f>
        <v>0.16</v>
      </c>
      <c r="D101" s="5" t="str">
        <f>IFERROR(VLOOKUP(SAISIE!$D101,REF_MATERIALS!$A:$B,2,FALSE),"")</f>
        <v>62a4d6fb-3276-4ba5-93a3-889ecd3bff84</v>
      </c>
      <c r="E101" s="5">
        <f>SAISIE!$E101</f>
        <v>1</v>
      </c>
      <c r="F101" s="5" t="str">
        <f>IFERROR(VLOOKUP(SAISIE!$F101,REF_COUNTRIES!$A:$B,2,FALSE),"")</f>
        <v>RAF</v>
      </c>
      <c r="G101" s="5" t="str">
        <f>IFERROR(VLOOKUP(SAISIE!$G101,REF_MATERIALS!$A:$B,2,FALSE),"")</f>
        <v/>
      </c>
      <c r="H101" s="5">
        <f>SAISIE!$H101</f>
        <v>0</v>
      </c>
      <c r="I101" s="5" t="str">
        <f>IFERROR(VLOOKUP(SAISIE!$I101,REF_COUNTRIES!$A:$B,2,FALSE),"")</f>
        <v/>
      </c>
      <c r="J101" s="5" t="str">
        <f>IFERROR(VLOOKUP(SAISIE!$J101,REF_MATERIALS!$A:$B,2,FALSE),"")</f>
        <v/>
      </c>
      <c r="K101" s="5">
        <f>SAISIE!$K101</f>
        <v>0</v>
      </c>
      <c r="L101" s="5" t="str">
        <f>IFERROR(VLOOKUP(SAISIE!$L101,REF_COUNTRIES!$A:$B,2,FALSE),"")</f>
        <v/>
      </c>
      <c r="M101" s="5" t="str">
        <f>IFERROR(VLOOKUP(SAISIE!$M101,REF_MATERIALS!$A:$B,2,FALSE),"")</f>
        <v/>
      </c>
      <c r="N101" s="5">
        <f>SAISIE!$N101</f>
        <v>0</v>
      </c>
      <c r="O101" s="5" t="str">
        <f>IFERROR(VLOOKUP(SAISIE!$O101,REF_COUNTRIES!$A:$B,2,FALSE),"")</f>
        <v/>
      </c>
      <c r="P101" s="5" t="str">
        <f>IFERROR(VLOOKUP(SAISIE!$P101,REF_MATERIALS!$A:$B,2,FALSE),"")</f>
        <v/>
      </c>
      <c r="Q101" s="5">
        <f>SAISIE!$Q101</f>
        <v>0</v>
      </c>
      <c r="R101" s="5" t="str">
        <f>IFERROR(VLOOKUP(SAISIE!$R101,REF_COUNTRIES!$A:$B,2,FALSE),"")</f>
        <v/>
      </c>
      <c r="S101" s="5" t="str">
        <f>IFERROR(VLOOKUP(SAISIE!$S101,REF_COUNTRIES!$A:$B,2,FALSE),"")</f>
        <v>KH</v>
      </c>
      <c r="T101" s="5" t="str">
        <f>IFERROR(VLOOKUP(SAISIE!$T101,REF_COUNTRIES!$A:$B,2,FALSE),"")</f>
        <v>RAS</v>
      </c>
      <c r="U101" s="5" t="str">
        <f>IFERROR(VLOOKUP(SAISIE!$U101,REF_COUNTRIES!$A:$B,2,FALSE),"")</f>
        <v>RAS</v>
      </c>
      <c r="V101" s="5" t="str">
        <f>IFERROR(VLOOKUP(SAISIE!$V101,REF_COUNTRIES!$A:$B,2,FALSE),"")</f>
        <v>BD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SAISIE</vt:lpstr>
      <vt:lpstr>REF_MATERIALS</vt:lpstr>
      <vt:lpstr>REF_PRODUCTS</vt:lpstr>
      <vt:lpstr>REF_COUNTRIES</vt:lpstr>
      <vt:lpstr>API_INPUT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Chalmandrier</cp:lastModifiedBy>
  <dcterms:created xsi:type="dcterms:W3CDTF">2026-03-01T21:58:29Z</dcterms:created>
  <dcterms:modified xsi:type="dcterms:W3CDTF">2026-03-01T21:59:47Z</dcterms:modified>
</cp:coreProperties>
</file>